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" state="visible" r:id="rId4"/>
  </sheets>
  <calcPr calcId="171027"/>
</workbook>
</file>

<file path=xl/sharedStrings.xml><?xml version="1.0" encoding="utf-8"?>
<sst xmlns="http://schemas.openxmlformats.org/spreadsheetml/2006/main" count="143" uniqueCount="136">
  <si>
    <t>Cachet de l'etablissement</t>
  </si>
  <si>
    <t xml:space="preserve"> </t>
  </si>
  <si>
    <t xml:space="preserve">FEUILLE DE CONSOMMATION
JOURNALIERE
</t>
  </si>
  <si>
    <t>Office National des Oeuvres Universitaires</t>
  </si>
  <si>
    <t xml:space="preserve">Direction des Oeuvres Universitaires 
</t>
  </si>
  <si>
    <t>Résidence Universitaire : 500 Lits</t>
  </si>
  <si>
    <t xml:space="preserve">Journée du </t>
  </si>
  <si>
    <t>brarhi abdelhak restau central</t>
  </si>
  <si>
    <t xml:space="preserve">NATURE DES DENREES </t>
  </si>
  <si>
    <t xml:space="preserve">Stock magasin </t>
  </si>
  <si>
    <t>Entrées Du Jour</t>
  </si>
  <si>
    <t>Total du</t>
  </si>
  <si>
    <t xml:space="preserve">      Sorties Du Jour</t>
  </si>
  <si>
    <t>Restes du</t>
  </si>
  <si>
    <t>OBSERVATIONS</t>
  </si>
  <si>
    <t>EFFECTIF DE LA JOURNEE</t>
  </si>
  <si>
    <t>DE CONSOMMATION</t>
  </si>
  <si>
    <t>de la veille</t>
  </si>
  <si>
    <t>Quantités</t>
  </si>
  <si>
    <t>P.U</t>
  </si>
  <si>
    <t>Magasin</t>
  </si>
  <si>
    <t>Valeur des sorties de la jourée</t>
  </si>
  <si>
    <t xml:space="preserve">خبز محسن 250 غ </t>
  </si>
  <si>
    <t>Petit</t>
  </si>
  <si>
    <t>Déjenuer</t>
  </si>
  <si>
    <t>Diner</t>
  </si>
  <si>
    <t>هلالـــيات</t>
  </si>
  <si>
    <t xml:space="preserve">حليب بودرة جاف </t>
  </si>
  <si>
    <t>Pensio-</t>
  </si>
  <si>
    <t>ســـــــكــر</t>
  </si>
  <si>
    <t>nnaires</t>
  </si>
  <si>
    <t>قهـــــــــوة</t>
  </si>
  <si>
    <t>Agents</t>
  </si>
  <si>
    <t xml:space="preserve">مربى </t>
  </si>
  <si>
    <t>Invités</t>
  </si>
  <si>
    <t>ميلفاي</t>
  </si>
  <si>
    <t>TOTAUX</t>
  </si>
  <si>
    <t>كروكـــــــــــــي</t>
  </si>
  <si>
    <t>خبز بالشكولاطة</t>
  </si>
  <si>
    <t xml:space="preserve">مــــــادلان </t>
  </si>
  <si>
    <t>(1) Moyenne des</t>
  </si>
  <si>
    <t>لحـــم العـــــجل</t>
  </si>
  <si>
    <t>Personnes nourries</t>
  </si>
  <si>
    <t>لحم الخروف</t>
  </si>
  <si>
    <t>دجــــــاج طازج</t>
  </si>
  <si>
    <t>Lait en boit 1 L</t>
  </si>
  <si>
    <t>Menu</t>
  </si>
  <si>
    <t>fromage ميزان</t>
  </si>
  <si>
    <t xml:space="preserve">سمك سردين </t>
  </si>
  <si>
    <t>Petit Déjenue</t>
  </si>
  <si>
    <t xml:space="preserve">زلابية </t>
  </si>
  <si>
    <t>قلب اللوز</t>
  </si>
  <si>
    <t xml:space="preserve">بطاطا مسحوقة </t>
  </si>
  <si>
    <t xml:space="preserve">فطر معلب </t>
  </si>
  <si>
    <t>بيـــــــــض</t>
  </si>
  <si>
    <t>جبـــــــــن 1/16</t>
  </si>
  <si>
    <t>ورق المنيوم</t>
  </si>
  <si>
    <t xml:space="preserve">لبن 1 ليتر </t>
  </si>
  <si>
    <t>جبن صلب لتبشير</t>
  </si>
  <si>
    <t xml:space="preserve">زيــــــــــــــــت </t>
  </si>
  <si>
    <t>خـــــــــــــــل</t>
  </si>
  <si>
    <t>Déjenue</t>
  </si>
  <si>
    <t>ملح المائدة</t>
  </si>
  <si>
    <t>طماطم 4/4</t>
  </si>
  <si>
    <t xml:space="preserve">عين بقرة </t>
  </si>
  <si>
    <t>زبيب جاف</t>
  </si>
  <si>
    <t>توابل</t>
  </si>
  <si>
    <t>مقرونة  +جبن   + سلاطة متنوعة +خبز</t>
  </si>
  <si>
    <t>مارغــــــرين</t>
  </si>
  <si>
    <t xml:space="preserve"> برتقال +   ماء  </t>
  </si>
  <si>
    <t xml:space="preserve">رايب </t>
  </si>
  <si>
    <t xml:space="preserve">جلبانة مجمدة </t>
  </si>
  <si>
    <t>أرز</t>
  </si>
  <si>
    <t>عدس</t>
  </si>
  <si>
    <t>فاصـــــ,لياء</t>
  </si>
  <si>
    <t>حمــــــص</t>
  </si>
  <si>
    <t>عجائن غذائية</t>
  </si>
  <si>
    <t xml:space="preserve">سلفة 240 علبة ياؤورت معطر و20 كلغ مقرونة </t>
  </si>
  <si>
    <t xml:space="preserve">ماء </t>
  </si>
  <si>
    <t xml:space="preserve">للإقامة الجامعية زرفة حكار </t>
  </si>
  <si>
    <t>تشيشة فريك</t>
  </si>
  <si>
    <t>كــــسكــــس</t>
  </si>
  <si>
    <t>شخشوخة</t>
  </si>
  <si>
    <t>مشمش جاف</t>
  </si>
  <si>
    <t>ماييس علبة 1 كلغ</t>
  </si>
  <si>
    <t>سردين علبة 120 غ</t>
  </si>
  <si>
    <t xml:space="preserve">بودرة الشوكولاطة </t>
  </si>
  <si>
    <t xml:space="preserve">مكعب المرق </t>
  </si>
  <si>
    <t>تـــــــــــــــــــــونة</t>
  </si>
  <si>
    <t xml:space="preserve">بصـــــل </t>
  </si>
  <si>
    <t>لفت منزوع الاوراق</t>
  </si>
  <si>
    <t xml:space="preserve">ثـــــوم </t>
  </si>
  <si>
    <t xml:space="preserve"> بطــــاطــــــــا </t>
  </si>
  <si>
    <t>سلاطــــــــــة</t>
  </si>
  <si>
    <t>خيـــــــار</t>
  </si>
  <si>
    <t>شمندر منزوع الاوراق</t>
  </si>
  <si>
    <t>بســـــباس</t>
  </si>
  <si>
    <t>قرنبيط</t>
  </si>
  <si>
    <t xml:space="preserve">طمـــــــــــــاطم حب </t>
  </si>
  <si>
    <t>فلفل  حلو و حار</t>
  </si>
  <si>
    <t>زيتون المائدة</t>
  </si>
  <si>
    <t xml:space="preserve">زيتون  بدون نــــوى </t>
  </si>
  <si>
    <t xml:space="preserve">اعشاب عطرية </t>
  </si>
  <si>
    <t>جــــــــــزر</t>
  </si>
  <si>
    <t>كرم</t>
  </si>
  <si>
    <t xml:space="preserve">فاصولياء خضراء </t>
  </si>
  <si>
    <t>بيذنجان</t>
  </si>
  <si>
    <t>خرشف</t>
  </si>
  <si>
    <t>Dépence par personne nourrie:</t>
  </si>
  <si>
    <t>جريوات</t>
  </si>
  <si>
    <t>ليمون</t>
  </si>
  <si>
    <t>برتقـــــــــــال</t>
  </si>
  <si>
    <t>Valeur des sorties de la journée</t>
  </si>
  <si>
    <t>مندريــــــن</t>
  </si>
  <si>
    <t>Moyenne des personnes nourries</t>
  </si>
  <si>
    <t xml:space="preserve">مشمش </t>
  </si>
  <si>
    <t>تفــــــــــــــاح</t>
  </si>
  <si>
    <t>=</t>
  </si>
  <si>
    <t>موز</t>
  </si>
  <si>
    <t>تمـــــــر</t>
  </si>
  <si>
    <t>/</t>
  </si>
  <si>
    <t>خوخ</t>
  </si>
  <si>
    <t xml:space="preserve">ياؤورت معطر  </t>
  </si>
  <si>
    <t>(1) Moyenne des effectifs au repas</t>
  </si>
  <si>
    <t xml:space="preserve">كرام ديسار </t>
  </si>
  <si>
    <t xml:space="preserve">de midi et au repas du soir  </t>
  </si>
  <si>
    <t>عصيـــــــــر</t>
  </si>
  <si>
    <t xml:space="preserve">ياؤورت فرويتي </t>
  </si>
  <si>
    <t xml:space="preserve">زعرور </t>
  </si>
  <si>
    <t>اجاص</t>
  </si>
  <si>
    <t xml:space="preserve">ورق ديول </t>
  </si>
  <si>
    <t>عنب</t>
  </si>
  <si>
    <t>برقوق</t>
  </si>
  <si>
    <t>فرولة</t>
  </si>
  <si>
    <t>مدير الاقامة الجامعية</t>
  </si>
  <si>
    <t>رئيس المصلحة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</si>
</sst>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[Red]0.00"/>
    <numFmt numFmtId="165" formatCode="dd-mm-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b/>
      <family val="2"/>
      <sz val="14"/>
      <name val="Arial"/>
    </font>
    <font>
      <family val="2"/>
      <sz val="14"/>
      <name val="Arial"/>
    </font>
    <font>
      <b/>
      <color theme="1" tint="0.0499893185216834"/>
      <family val="2"/>
      <sz val="14"/>
      <name val="Arial"/>
    </font>
    <font>
      <u/>
      <family val="2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4" fillId="0" borderId="0" xfId="0" applyFont="1"/>
    <xf numFmtId="165" fontId="2" fillId="0" borderId="1" xfId="0" applyNumberFormat="1" applyFont="1" applyBorder="1" applyAlignment="1">
      <alignment horizontal="left"/>
    </xf>
    <xf numFmtId="2" fontId="1" fillId="0" borderId="0" xfId="0" applyNumberFormat="1" applyFont="1"/>
    <xf numFmtId="0" fontId="1" fillId="0" borderId="1" xfId="0" applyFont="1" applyBorder="1"/>
    <xf numFmtId="0" fontId="4" fillId="0" borderId="2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164" fontId="4" fillId="0" borderId="10" xfId="0" applyNumberFormat="1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4" fillId="0" borderId="17" xfId="0" applyNumberFormat="1" applyFont="1" applyBorder="1"/>
    <xf numFmtId="0" fontId="4" fillId="0" borderId="15" xfId="0" applyFont="1" applyBorder="1"/>
    <xf numFmtId="0" fontId="4" fillId="0" borderId="7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4" fillId="0" borderId="15" xfId="0" applyNumberFormat="1" applyFont="1" applyBorder="1"/>
    <xf numFmtId="0" fontId="4" fillId="0" borderId="15" xfId="0" applyFont="1" applyBorder="1" applyAlignment="1">
      <alignment horizontal="right"/>
    </xf>
    <xf numFmtId="0" fontId="4" fillId="0" borderId="10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3" borderId="18" xfId="0" applyNumberFormat="1" applyFont="1" applyFill="1" applyBorder="1" applyAlignment="1">
      <alignment horizontal="center" vertical="center"/>
    </xf>
    <xf numFmtId="164" fontId="4" fillId="0" borderId="19" xfId="0" applyNumberFormat="1" applyFont="1" applyBorder="1"/>
    <xf numFmtId="0" fontId="4" fillId="0" borderId="20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/>
    <xf numFmtId="0" fontId="4" fillId="0" borderId="9" xfId="0" applyFont="1" applyBorder="1"/>
    <xf numFmtId="0" fontId="4" fillId="0" borderId="27" xfId="0" applyFont="1" applyBorder="1"/>
    <xf numFmtId="0" fontId="4" fillId="0" borderId="28" xfId="0" applyFont="1" applyBorder="1"/>
    <xf numFmtId="0" fontId="2" fillId="0" borderId="7" xfId="0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164" fontId="4" fillId="0" borderId="30" xfId="0" applyNumberFormat="1" applyFont="1" applyBorder="1"/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164" fontId="4" fillId="0" borderId="12" xfId="0" applyNumberFormat="1" applyFont="1" applyBorder="1"/>
    <xf numFmtId="164" fontId="3" fillId="0" borderId="15" xfId="0" applyNumberFormat="1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3" fillId="0" borderId="39" xfId="0" applyFont="1" applyBorder="1" applyAlignment="1">
      <alignment horizontal="center"/>
    </xf>
    <xf numFmtId="164" fontId="3" fillId="3" borderId="40" xfId="0" applyNumberFormat="1" applyFont="1" applyFill="1" applyBorder="1" applyAlignment="1">
      <alignment horizontal="center" vertical="center"/>
    </xf>
    <xf numFmtId="164" fontId="3" fillId="0" borderId="41" xfId="0" applyNumberFormat="1" applyFont="1" applyBorder="1" applyAlignment="1">
      <alignment horizontal="center" vertical="center"/>
    </xf>
    <xf numFmtId="164" fontId="3" fillId="3" borderId="41" xfId="0" applyNumberFormat="1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164" fontId="3" fillId="3" borderId="43" xfId="0" applyNumberFormat="1" applyFont="1" applyFill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164" fontId="3" fillId="3" borderId="33" xfId="0" applyNumberFormat="1" applyFont="1" applyFill="1" applyBorder="1" applyAlignment="1">
      <alignment horizontal="center" vertical="center"/>
    </xf>
    <xf numFmtId="0" fontId="1" fillId="0" borderId="28" xfId="0" applyFont="1" applyBorder="1"/>
    <xf numFmtId="164" fontId="3" fillId="0" borderId="44" xfId="0" applyNumberFormat="1" applyFont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164" fontId="3" fillId="0" borderId="45" xfId="0" applyNumberFormat="1" applyFont="1" applyBorder="1" applyAlignment="1">
      <alignment horizontal="center" vertical="center"/>
    </xf>
    <xf numFmtId="164" fontId="3" fillId="0" borderId="46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 vertical="top"/>
    </xf>
    <xf numFmtId="0" fontId="3" fillId="0" borderId="26" xfId="0" applyFont="1" applyBorder="1" applyAlignment="1">
      <alignment horizontal="center"/>
    </xf>
    <xf numFmtId="49" fontId="3" fillId="0" borderId="26" xfId="0" applyNumberFormat="1" applyFont="1" applyBorder="1" applyAlignment="1">
      <alignment horizontal="right" vertical="center"/>
    </xf>
    <xf numFmtId="2" fontId="3" fillId="0" borderId="47" xfId="0" applyNumberFormat="1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0" xfId="0" applyFont="1"/>
    <xf numFmtId="0" fontId="3" fillId="0" borderId="28" xfId="0" applyFont="1" applyBorder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64" fontId="3" fillId="0" borderId="49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28" xfId="0" applyFont="1" applyBorder="1" applyAlignment="1">
      <alignment horizontal="left"/>
    </xf>
    <xf numFmtId="164" fontId="3" fillId="0" borderId="50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4" fillId="0" borderId="7" xfId="0" applyNumberFormat="1" applyFont="1" applyBorder="1"/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64" fontId="3" fillId="3" borderId="53" xfId="0" applyNumberFormat="1" applyFont="1" applyFill="1" applyBorder="1" applyAlignment="1">
      <alignment horizontal="center" vertical="center"/>
    </xf>
    <xf numFmtId="164" fontId="3" fillId="2" borderId="53" xfId="0" applyNumberFormat="1" applyFont="1" applyFill="1" applyBorder="1" applyAlignment="1">
      <alignment horizontal="center" vertical="center"/>
    </xf>
    <xf numFmtId="2" fontId="3" fillId="3" borderId="53" xfId="0" applyNumberFormat="1" applyFont="1" applyFill="1" applyBorder="1" applyAlignment="1">
      <alignment horizontal="center" vertical="center"/>
    </xf>
    <xf numFmtId="0" fontId="4" fillId="0" borderId="53" xfId="0" applyFont="1" applyBorder="1"/>
    <xf numFmtId="0" fontId="4" fillId="0" borderId="54" xfId="0" applyFont="1" applyBorder="1"/>
    <xf numFmtId="0" fontId="4" fillId="0" borderId="47" xfId="0" applyFont="1" applyBorder="1"/>
    <xf numFmtId="0" fontId="4" fillId="0" borderId="55" xfId="0" applyFont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FormatPr defaultRowHeight="15" outlineLevelRow="0" outlineLevelCol="0" x14ac:dyDescent="55"/>
  <cols>
    <col min="1" max="1" width="9.140625" customWidth="1"/>
    <col min="2" max="2" width="19.42578125" customWidth="1"/>
    <col min="3" max="3" width="16.28515625" customWidth="1"/>
    <col min="5" max="5" width="14.140625" customWidth="1"/>
    <col min="6" max="6" width="15" customWidth="1"/>
    <col min="8" max="8" width="14.5703125" customWidth="1"/>
    <col min="9" max="9" width="13.28515625" customWidth="1"/>
    <col min="10" max="10" width="14.28515625" customWidth="1"/>
  </cols>
  <sheetData>
    <row r="1" ht="18.75" customHeight="1" spans="1:15" x14ac:dyDescent="0.25">
      <c r="A1" s="1"/>
      <c r="B1" s="1" t="s">
        <v>0</v>
      </c>
      <c r="C1" s="1"/>
      <c r="D1" s="1"/>
      <c r="E1" s="2"/>
      <c r="F1" s="2"/>
      <c r="G1" s="2"/>
      <c r="H1" s="3"/>
      <c r="I1" s="2"/>
      <c r="J1" s="2"/>
      <c r="K1" s="1"/>
      <c r="L1" s="1"/>
      <c r="M1" s="1"/>
      <c r="N1" s="1"/>
      <c r="O1" s="1"/>
    </row>
    <row r="2" ht="18.75" customHeight="1" spans="1:15" x14ac:dyDescent="0.25">
      <c r="A2" s="4"/>
      <c r="B2" s="1"/>
      <c r="C2" s="4" t="s">
        <v>1</v>
      </c>
      <c r="D2" s="5" t="s">
        <v>2</v>
      </c>
      <c r="E2" s="5"/>
      <c r="F2" s="5"/>
      <c r="G2" s="5"/>
      <c r="H2" s="5"/>
      <c r="I2" s="2"/>
      <c r="J2" s="6" t="s">
        <v>3</v>
      </c>
      <c r="K2" s="6"/>
      <c r="L2" s="6"/>
      <c r="M2" s="6"/>
      <c r="N2" s="6"/>
      <c r="O2" s="1"/>
    </row>
    <row r="3" ht="18.75" customHeight="1" spans="1:15" x14ac:dyDescent="0.25">
      <c r="A3" s="4"/>
      <c r="B3" s="1"/>
      <c r="C3" s="1"/>
      <c r="D3" s="5"/>
      <c r="E3" s="5"/>
      <c r="F3" s="5"/>
      <c r="G3" s="5"/>
      <c r="H3" s="5"/>
      <c r="I3" s="2"/>
      <c r="J3" s="6" t="s">
        <v>4</v>
      </c>
      <c r="K3" s="6"/>
      <c r="L3" s="6"/>
      <c r="M3" s="6"/>
      <c r="N3" s="6"/>
      <c r="O3" s="6"/>
    </row>
    <row r="4" ht="18.75" customHeight="1" spans="1:15" x14ac:dyDescent="0.25">
      <c r="A4" s="4"/>
      <c r="B4" s="1"/>
      <c r="C4" s="1"/>
      <c r="D4" s="5"/>
      <c r="E4" s="5"/>
      <c r="F4" s="5"/>
      <c r="G4" s="5"/>
      <c r="H4" s="5"/>
      <c r="I4" s="7"/>
      <c r="J4" s="6" t="s">
        <v>5</v>
      </c>
      <c r="K4" s="6"/>
      <c r="L4" s="6"/>
      <c r="M4" s="8"/>
      <c r="N4" s="8"/>
      <c r="O4" s="8"/>
    </row>
    <row r="5" ht="18.75" customHeight="1" spans="1:15" x14ac:dyDescent="0.25">
      <c r="A5" s="4"/>
      <c r="B5" s="1"/>
      <c r="C5" s="1"/>
      <c r="D5" s="5"/>
      <c r="E5" s="5"/>
      <c r="F5" s="5"/>
      <c r="G5" s="5"/>
      <c r="H5" s="5"/>
      <c r="I5" s="7"/>
      <c r="J5" s="7"/>
      <c r="K5" s="1"/>
      <c r="L5" s="1"/>
      <c r="M5" s="1"/>
      <c r="N5" s="1"/>
      <c r="O5" s="1"/>
    </row>
    <row r="6" ht="19.5" customHeight="1" spans="1:15" x14ac:dyDescent="0.25">
      <c r="A6" s="4"/>
      <c r="B6" s="9"/>
      <c r="C6" s="10" t="s">
        <v>6</v>
      </c>
      <c r="D6" s="11">
        <v>46174</v>
      </c>
      <c r="E6" s="11"/>
      <c r="F6" s="11"/>
      <c r="G6" s="1"/>
      <c r="H6" s="12"/>
      <c r="I6" s="1"/>
      <c r="J6" s="1" t="s">
        <v>7</v>
      </c>
      <c r="K6" s="1"/>
      <c r="L6" s="13"/>
      <c r="M6" s="13"/>
      <c r="N6" s="13"/>
      <c r="O6" s="13"/>
    </row>
    <row r="7" ht="19.5" customHeight="1" spans="1:15" x14ac:dyDescent="0.25">
      <c r="A7" s="14" t="s">
        <v>8</v>
      </c>
      <c r="B7" s="14"/>
      <c r="C7" s="15" t="s">
        <v>9</v>
      </c>
      <c r="D7" s="16" t="s">
        <v>10</v>
      </c>
      <c r="E7" s="16"/>
      <c r="F7" s="17" t="s">
        <v>11</v>
      </c>
      <c r="G7" s="16" t="s">
        <v>12</v>
      </c>
      <c r="H7" s="16"/>
      <c r="I7" s="16"/>
      <c r="J7" s="15" t="s">
        <v>13</v>
      </c>
      <c r="K7" s="18" t="s">
        <v>14</v>
      </c>
      <c r="L7" s="19" t="s">
        <v>15</v>
      </c>
      <c r="M7" s="19"/>
      <c r="N7" s="19"/>
      <c r="O7" s="19"/>
    </row>
    <row r="8" ht="18.75" customHeight="1" spans="1:15" x14ac:dyDescent="0.25">
      <c r="A8" s="20" t="s">
        <v>16</v>
      </c>
      <c r="B8" s="20"/>
      <c r="C8" s="21" t="s">
        <v>17</v>
      </c>
      <c r="D8" s="22" t="s">
        <v>18</v>
      </c>
      <c r="E8" s="22" t="s">
        <v>19</v>
      </c>
      <c r="F8" s="23" t="s">
        <v>20</v>
      </c>
      <c r="G8" s="24" t="s">
        <v>18</v>
      </c>
      <c r="H8" s="25" t="s">
        <v>19</v>
      </c>
      <c r="I8" s="22" t="s">
        <v>21</v>
      </c>
      <c r="J8" s="21" t="s">
        <v>18</v>
      </c>
      <c r="K8" s="18"/>
      <c r="L8" s="19"/>
      <c r="M8" s="19"/>
      <c r="N8" s="19"/>
      <c r="O8" s="19"/>
    </row>
    <row r="9" ht="19.5" customHeight="1" spans="1:15" x14ac:dyDescent="0.25">
      <c r="A9" s="26">
        <v>1</v>
      </c>
      <c r="B9" s="27" t="s">
        <v>22</v>
      </c>
      <c r="C9" s="28">
        <f>'شهر ماي'!J2054</f>
      </c>
      <c r="D9" s="29">
        <v>100</v>
      </c>
      <c r="E9" s="30">
        <v>8</v>
      </c>
      <c r="F9" s="29">
        <f>C9+D9</f>
        <v>100</v>
      </c>
      <c r="G9" s="28">
        <v>100</v>
      </c>
      <c r="H9" s="31">
        <f>E9</f>
        <v>8</v>
      </c>
      <c r="I9" s="32">
        <f>G9*H9</f>
        <v>800</v>
      </c>
      <c r="J9" s="28">
        <f>F9-G9</f>
      </c>
      <c r="K9" s="33"/>
      <c r="L9" s="34"/>
      <c r="M9" s="35" t="s">
        <v>23</v>
      </c>
      <c r="N9" s="35" t="s">
        <v>24</v>
      </c>
      <c r="O9" s="36" t="s">
        <v>25</v>
      </c>
    </row>
    <row r="10" ht="19.5" customHeight="1" spans="1:15" x14ac:dyDescent="0.25">
      <c r="A10" s="37">
        <v>2</v>
      </c>
      <c r="B10" s="38" t="s">
        <v>26</v>
      </c>
      <c r="C10" s="28">
        <f>'شهر ماي'!J2055</f>
      </c>
      <c r="D10" s="39"/>
      <c r="E10" s="30">
        <v>30</v>
      </c>
      <c r="F10" s="29">
        <f>C10+D10</f>
      </c>
      <c r="G10" s="28"/>
      <c r="H10" s="31">
        <f>E10</f>
        <v>30</v>
      </c>
      <c r="I10" s="32">
        <f>G10*H10</f>
      </c>
      <c r="J10" s="28">
        <f>F10-G10</f>
      </c>
      <c r="K10" s="40"/>
      <c r="L10" s="41"/>
      <c r="M10" s="42" t="s">
        <v>24</v>
      </c>
      <c r="N10" s="35"/>
      <c r="O10" s="36"/>
    </row>
    <row r="11" ht="19.5" customHeight="1" spans="1:15" x14ac:dyDescent="0.25">
      <c r="A11" s="37">
        <v>3</v>
      </c>
      <c r="B11" s="43" t="s">
        <v>27</v>
      </c>
      <c r="C11" s="28">
        <f>'شهر ماي'!J2056</f>
      </c>
      <c r="D11" s="44"/>
      <c r="E11" s="30">
        <v>1100</v>
      </c>
      <c r="F11" s="29">
        <f>C11+D11</f>
      </c>
      <c r="G11" s="28"/>
      <c r="H11" s="31">
        <f>E11</f>
        <v>1100</v>
      </c>
      <c r="I11" s="32">
        <f>G11*H11</f>
      </c>
      <c r="J11" s="28">
        <f>F11-G11</f>
      </c>
      <c r="K11" s="45"/>
      <c r="L11" s="46" t="s">
        <v>28</v>
      </c>
      <c r="M11" s="47">
        <v>0</v>
      </c>
      <c r="N11" s="47">
        <v>111</v>
      </c>
      <c r="O11" s="48">
        <v>0</v>
      </c>
    </row>
    <row r="12" ht="19.5" customHeight="1" spans="1:15" x14ac:dyDescent="0.25">
      <c r="A12" s="37">
        <v>4</v>
      </c>
      <c r="B12" s="49" t="s">
        <v>29</v>
      </c>
      <c r="C12" s="28">
        <f>'شهر ماي'!J2057</f>
      </c>
      <c r="D12" s="50"/>
      <c r="E12" s="30">
        <v>90</v>
      </c>
      <c r="F12" s="29">
        <f>C12+D12</f>
      </c>
      <c r="G12" s="28"/>
      <c r="H12" s="31">
        <f>E12</f>
        <v>90</v>
      </c>
      <c r="I12" s="32">
        <f>G12*H12</f>
      </c>
      <c r="J12" s="28">
        <f>F12-G12</f>
      </c>
      <c r="K12" s="51"/>
      <c r="L12" s="46" t="s">
        <v>30</v>
      </c>
      <c r="M12" s="47"/>
      <c r="N12" s="47"/>
      <c r="O12" s="48"/>
    </row>
    <row r="13" ht="19.5" customHeight="1" spans="1:15" x14ac:dyDescent="0.25">
      <c r="A13" s="37">
        <v>5</v>
      </c>
      <c r="B13" s="43" t="s">
        <v>31</v>
      </c>
      <c r="C13" s="28">
        <f>'شهر ماي'!J2058</f>
      </c>
      <c r="D13" s="44"/>
      <c r="E13" s="30">
        <v>1000</v>
      </c>
      <c r="F13" s="29">
        <f>C13+D13</f>
      </c>
      <c r="G13" s="28"/>
      <c r="H13" s="31">
        <f>E13</f>
        <v>1000</v>
      </c>
      <c r="I13" s="32">
        <f>G13*H13</f>
      </c>
      <c r="J13" s="28">
        <f>F13-G13</f>
      </c>
      <c r="K13" s="51"/>
      <c r="L13" s="46" t="s">
        <v>32</v>
      </c>
      <c r="M13" s="52">
        <v>0</v>
      </c>
      <c r="N13" s="53">
        <v>0</v>
      </c>
      <c r="O13" s="54">
        <v>0</v>
      </c>
    </row>
    <row r="14" ht="19.5" customHeight="1" spans="1:15" x14ac:dyDescent="0.25">
      <c r="A14" s="37">
        <v>6</v>
      </c>
      <c r="B14" s="49" t="s">
        <v>33</v>
      </c>
      <c r="C14" s="28">
        <f>'شهر ماي'!J2059</f>
      </c>
      <c r="D14" s="50"/>
      <c r="E14" s="30">
        <v>273.7</v>
      </c>
      <c r="F14" s="29">
        <f>C14+D14</f>
      </c>
      <c r="G14" s="28"/>
      <c r="H14" s="31">
        <f>E14</f>
        <v>273.7</v>
      </c>
      <c r="I14" s="32">
        <f>G14*H14</f>
      </c>
      <c r="J14" s="28">
        <f>F14-G14</f>
      </c>
      <c r="K14" s="40"/>
      <c r="L14" s="46" t="s">
        <v>34</v>
      </c>
      <c r="M14" s="55"/>
      <c r="N14" s="56"/>
      <c r="O14" s="57"/>
    </row>
    <row r="15" ht="19.5" customHeight="1" spans="1:15" x14ac:dyDescent="0.25">
      <c r="A15" s="37">
        <v>7</v>
      </c>
      <c r="B15" s="49" t="s">
        <v>35</v>
      </c>
      <c r="C15" s="28">
        <f>'شهر ماي'!J2060</f>
      </c>
      <c r="D15" s="50"/>
      <c r="E15" s="30">
        <v>40</v>
      </c>
      <c r="F15" s="29">
        <f>C15+D15</f>
      </c>
      <c r="G15" s="28"/>
      <c r="H15" s="31">
        <f>E15</f>
        <v>40</v>
      </c>
      <c r="I15" s="32">
        <f>G15*H15</f>
      </c>
      <c r="J15" s="28">
        <f>F15-G15</f>
      </c>
      <c r="K15" s="40"/>
      <c r="L15" s="58" t="s">
        <v>36</v>
      </c>
      <c r="M15" s="59">
        <f>SUM(M10:M14)</f>
      </c>
      <c r="N15" s="59">
        <f>N11</f>
        <v>111</v>
      </c>
      <c r="O15" s="60">
        <f>O11+O13</f>
      </c>
    </row>
    <row r="16" ht="19.5" customHeight="1" spans="1:15" x14ac:dyDescent="0.25">
      <c r="A16" s="37">
        <v>8</v>
      </c>
      <c r="B16" s="49" t="s">
        <v>37</v>
      </c>
      <c r="C16" s="28">
        <f>'شهر ماي'!J2061</f>
      </c>
      <c r="D16" s="50"/>
      <c r="E16" s="30">
        <v>30</v>
      </c>
      <c r="F16" s="29">
        <f>C16+D16</f>
      </c>
      <c r="G16" s="28"/>
      <c r="H16" s="31">
        <f>E16</f>
        <v>30</v>
      </c>
      <c r="I16" s="32">
        <f>G16*H16</f>
      </c>
      <c r="J16" s="28">
        <f>F16-G16</f>
      </c>
      <c r="K16" s="45"/>
      <c r="L16" s="58"/>
      <c r="M16" s="10"/>
      <c r="N16" s="10"/>
      <c r="O16" s="61"/>
    </row>
    <row r="17" ht="19.5" customHeight="1" spans="1:15" x14ac:dyDescent="0.25">
      <c r="A17" s="37">
        <v>9</v>
      </c>
      <c r="B17" s="49" t="s">
        <v>38</v>
      </c>
      <c r="C17" s="28">
        <f>'شهر ماي'!J2062</f>
      </c>
      <c r="D17" s="50"/>
      <c r="E17" s="30">
        <v>30</v>
      </c>
      <c r="F17" s="29">
        <f>C17+D17</f>
      </c>
      <c r="G17" s="28"/>
      <c r="H17" s="31">
        <f>E17</f>
        <v>30</v>
      </c>
      <c r="I17" s="32">
        <f>G17*H17</f>
      </c>
      <c r="J17" s="28">
        <f>F17-G17</f>
      </c>
      <c r="K17" s="40"/>
      <c r="L17" s="10"/>
      <c r="M17" s="10"/>
      <c r="N17" s="10"/>
      <c r="O17" s="61"/>
    </row>
    <row r="18" ht="19.5" customHeight="1" spans="1:15" x14ac:dyDescent="0.25">
      <c r="A18" s="62">
        <v>10</v>
      </c>
      <c r="B18" s="63" t="s">
        <v>39</v>
      </c>
      <c r="C18" s="28">
        <f>'شهر ماي'!J2063</f>
      </c>
      <c r="D18" s="64"/>
      <c r="E18" s="30">
        <v>60</v>
      </c>
      <c r="F18" s="29">
        <f>C18+D18</f>
      </c>
      <c r="G18" s="28"/>
      <c r="H18" s="31">
        <f>E18</f>
        <v>60</v>
      </c>
      <c r="I18" s="32">
        <f>G18*H18</f>
      </c>
      <c r="J18" s="28">
        <f>F18-G18</f>
      </c>
      <c r="K18" s="65"/>
      <c r="L18" s="66" t="s">
        <v>40</v>
      </c>
      <c r="M18" s="66"/>
      <c r="N18" s="67">
        <f>SUM(N11)</f>
        <v>111</v>
      </c>
      <c r="O18" s="67"/>
    </row>
    <row r="19" ht="19.5" customHeight="1" spans="1:15" x14ac:dyDescent="0.25">
      <c r="A19" s="37">
        <v>11</v>
      </c>
      <c r="B19" s="43" t="s">
        <v>41</v>
      </c>
      <c r="C19" s="28">
        <f>'شهر ماي'!J2064</f>
      </c>
      <c r="D19" s="44"/>
      <c r="E19" s="30">
        <v>1559</v>
      </c>
      <c r="F19" s="29">
        <f>C19+D19</f>
      </c>
      <c r="G19" s="28"/>
      <c r="H19" s="31">
        <f>E19</f>
        <v>1559</v>
      </c>
      <c r="I19" s="32">
        <f>G19*H19</f>
      </c>
      <c r="J19" s="28">
        <f>F19-G19</f>
      </c>
      <c r="K19" s="68"/>
      <c r="L19" s="66" t="s">
        <v>42</v>
      </c>
      <c r="M19" s="66"/>
      <c r="N19" s="67"/>
      <c r="O19" s="67"/>
    </row>
    <row r="20" ht="19.5" customHeight="1" spans="1:15" x14ac:dyDescent="0.25">
      <c r="A20" s="37">
        <v>12</v>
      </c>
      <c r="B20" s="49" t="s">
        <v>43</v>
      </c>
      <c r="C20" s="28">
        <f>'شهر ماي'!J2065</f>
      </c>
      <c r="D20" s="50"/>
      <c r="E20" s="30">
        <v>2295</v>
      </c>
      <c r="F20" s="29">
        <f>C20+D20</f>
      </c>
      <c r="G20" s="28"/>
      <c r="H20" s="31">
        <f>E20</f>
        <v>2295</v>
      </c>
      <c r="I20" s="32">
        <f>G20*H20</f>
      </c>
      <c r="J20" s="28">
        <f>F20-G20</f>
      </c>
      <c r="K20" s="69"/>
      <c r="L20" s="10"/>
      <c r="M20" s="10"/>
      <c r="N20" s="10"/>
      <c r="O20" s="61"/>
    </row>
    <row r="21" ht="19.5" customHeight="1" spans="1:15" x14ac:dyDescent="0.25">
      <c r="A21" s="37">
        <v>14</v>
      </c>
      <c r="B21" s="49" t="s">
        <v>44</v>
      </c>
      <c r="C21" s="28">
        <f>'شهر ماي'!J2066</f>
      </c>
      <c r="D21" s="28"/>
      <c r="E21" s="30">
        <v>450</v>
      </c>
      <c r="F21" s="29">
        <f>C21+D21</f>
      </c>
      <c r="G21" s="28"/>
      <c r="H21" s="31">
        <f>E21</f>
        <v>450</v>
      </c>
      <c r="I21" s="32">
        <v>0</v>
      </c>
      <c r="J21" s="28">
        <f>F21-G21</f>
      </c>
      <c r="K21" s="51"/>
      <c r="L21" s="70"/>
      <c r="M21" s="71"/>
      <c r="N21" s="71"/>
      <c r="O21" s="72"/>
    </row>
    <row r="22" ht="19.5" customHeight="1" spans="1:15" x14ac:dyDescent="0.25">
      <c r="A22" s="37">
        <v>13</v>
      </c>
      <c r="B22" s="49" t="s">
        <v>45</v>
      </c>
      <c r="C22" s="28">
        <f>'شهر ماي'!J2067</f>
      </c>
      <c r="D22" s="50"/>
      <c r="E22" s="30">
        <v>120</v>
      </c>
      <c r="F22" s="29">
        <f>C22+D22</f>
      </c>
      <c r="G22" s="28"/>
      <c r="H22" s="31">
        <f>E22</f>
        <v>120</v>
      </c>
      <c r="I22" s="32">
        <f>G22*H22</f>
      </c>
      <c r="J22" s="28">
        <f>F22-G22</f>
      </c>
      <c r="K22" s="51"/>
      <c r="L22" s="10"/>
      <c r="M22" s="73" t="s">
        <v>46</v>
      </c>
      <c r="N22" s="73"/>
      <c r="O22" s="61"/>
    </row>
    <row r="23" ht="19.5" customHeight="1" spans="1:15" x14ac:dyDescent="0.25">
      <c r="A23" s="37">
        <v>14</v>
      </c>
      <c r="B23" s="49" t="s">
        <v>47</v>
      </c>
      <c r="C23" s="28">
        <f>'شهر ماي'!J2068</f>
      </c>
      <c r="D23" s="50"/>
      <c r="E23" s="30">
        <v>571.2</v>
      </c>
      <c r="F23" s="29">
        <f>C23+D23</f>
      </c>
      <c r="G23" s="28"/>
      <c r="H23" s="31">
        <f>E23</f>
        <v>571.2</v>
      </c>
      <c r="I23" s="32">
        <f>G23*H23</f>
      </c>
      <c r="J23" s="28">
        <f>F23-G23</f>
      </c>
      <c r="K23" s="40"/>
      <c r="L23" s="10"/>
      <c r="M23" s="10"/>
      <c r="N23" s="10"/>
      <c r="O23" s="61"/>
    </row>
    <row r="24" ht="19.5" customHeight="1" spans="1:15" x14ac:dyDescent="0.25">
      <c r="A24" s="37">
        <v>15</v>
      </c>
      <c r="B24" s="49" t="s">
        <v>48</v>
      </c>
      <c r="C24" s="28">
        <f>'شهر ماي'!J2069</f>
      </c>
      <c r="D24" s="50"/>
      <c r="E24" s="30">
        <v>1356.6</v>
      </c>
      <c r="F24" s="29">
        <f>C24+D24</f>
      </c>
      <c r="G24" s="28"/>
      <c r="H24" s="31">
        <f>E24</f>
        <v>1356.6</v>
      </c>
      <c r="I24" s="32">
        <f>G24*H24</f>
      </c>
      <c r="J24" s="28">
        <f>F24-G24</f>
      </c>
      <c r="K24" s="45"/>
      <c r="L24" s="10"/>
      <c r="M24" s="74" t="s">
        <v>49</v>
      </c>
      <c r="N24" s="74"/>
      <c r="O24" s="61"/>
    </row>
    <row r="25" ht="19.5" customHeight="1" spans="1:15" x14ac:dyDescent="0.25">
      <c r="A25" s="37">
        <v>16</v>
      </c>
      <c r="B25" s="49" t="s">
        <v>50</v>
      </c>
      <c r="C25" s="28">
        <f>'شهر ماي'!J2070</f>
      </c>
      <c r="D25" s="50"/>
      <c r="E25" s="30">
        <v>430</v>
      </c>
      <c r="F25" s="29">
        <f>C25+D25</f>
      </c>
      <c r="G25" s="28"/>
      <c r="H25" s="31">
        <f>E25</f>
        <v>430</v>
      </c>
      <c r="I25" s="32">
        <f>G25*H25</f>
      </c>
      <c r="J25" s="28">
        <f>F25-G25</f>
      </c>
      <c r="K25" s="51"/>
      <c r="L25" s="75"/>
      <c r="M25" s="76"/>
      <c r="N25" s="76"/>
      <c r="O25" s="77"/>
    </row>
    <row r="26" ht="19.5" customHeight="1" spans="1:15" x14ac:dyDescent="0.25">
      <c r="A26" s="37">
        <v>17</v>
      </c>
      <c r="B26" s="49" t="s">
        <v>51</v>
      </c>
      <c r="C26" s="28">
        <f>'شهر ماي'!J2071</f>
      </c>
      <c r="D26" s="50"/>
      <c r="E26" s="30">
        <v>45</v>
      </c>
      <c r="F26" s="29">
        <f>C26+D26</f>
      </c>
      <c r="G26" s="28"/>
      <c r="H26" s="31">
        <f>E26</f>
        <v>45</v>
      </c>
      <c r="I26" s="32">
        <f>G26*H26</f>
      </c>
      <c r="J26" s="28">
        <f>F26-G26</f>
      </c>
      <c r="K26" s="51"/>
      <c r="L26" s="78"/>
      <c r="M26" s="78"/>
      <c r="N26" s="78"/>
      <c r="O26" s="78"/>
    </row>
    <row r="27" ht="19.5" customHeight="1" spans="1:15" x14ac:dyDescent="0.25">
      <c r="A27" s="37">
        <v>18</v>
      </c>
      <c r="B27" s="49" t="s">
        <v>52</v>
      </c>
      <c r="C27" s="28">
        <f>'شهر ماي'!J2072</f>
      </c>
      <c r="D27" s="50"/>
      <c r="E27" s="30">
        <v>1142.4</v>
      </c>
      <c r="F27" s="29">
        <f>C27+D27</f>
      </c>
      <c r="G27" s="28"/>
      <c r="H27" s="31">
        <f>E27</f>
        <v>1142.4</v>
      </c>
      <c r="I27" s="32">
        <f>G27*H27</f>
      </c>
      <c r="J27" s="28">
        <f>F27-G27</f>
      </c>
      <c r="K27" s="40"/>
      <c r="L27" s="78"/>
      <c r="M27" s="78"/>
      <c r="N27" s="78"/>
      <c r="O27" s="78"/>
    </row>
    <row r="28" ht="19.5" customHeight="1" spans="1:15" x14ac:dyDescent="0.25">
      <c r="A28" s="37">
        <v>19</v>
      </c>
      <c r="B28" s="49" t="s">
        <v>53</v>
      </c>
      <c r="C28" s="28">
        <f>'شهر ماي'!J2073</f>
      </c>
      <c r="D28" s="50"/>
      <c r="E28" s="30">
        <v>1142.4</v>
      </c>
      <c r="F28" s="29">
        <f>C28+D28</f>
      </c>
      <c r="G28" s="28"/>
      <c r="H28" s="31">
        <f>E28</f>
        <v>1142.4</v>
      </c>
      <c r="I28" s="32">
        <f>G28*H28</f>
      </c>
      <c r="J28" s="28">
        <f>F28-G28</f>
      </c>
      <c r="K28" s="45"/>
      <c r="L28" s="78"/>
      <c r="M28" s="78"/>
      <c r="N28" s="78"/>
      <c r="O28" s="78"/>
    </row>
    <row r="29" ht="19.5" customHeight="1" spans="1:15" x14ac:dyDescent="0.25">
      <c r="A29" s="37">
        <v>20</v>
      </c>
      <c r="B29" s="49" t="s">
        <v>54</v>
      </c>
      <c r="C29" s="28">
        <f>'شهر ماي'!J2074</f>
        <v>1418</v>
      </c>
      <c r="D29" s="50"/>
      <c r="E29" s="30">
        <v>16</v>
      </c>
      <c r="F29" s="29">
        <f>C29+D29</f>
        <v>1418</v>
      </c>
      <c r="G29" s="28"/>
      <c r="H29" s="31">
        <f>E29</f>
        <v>16</v>
      </c>
      <c r="I29" s="32">
        <f>G29*H29</f>
      </c>
      <c r="J29" s="28">
        <f>F29-G29</f>
        <v>1418</v>
      </c>
      <c r="K29" s="51"/>
      <c r="L29" s="78"/>
      <c r="M29" s="78"/>
      <c r="N29" s="78"/>
      <c r="O29" s="78"/>
    </row>
    <row r="30" ht="19.5" customHeight="1" spans="1:15" x14ac:dyDescent="0.25">
      <c r="A30" s="37">
        <v>21</v>
      </c>
      <c r="B30" s="49" t="s">
        <v>55</v>
      </c>
      <c r="C30" s="28">
        <f>'شهر ماي'!J2075</f>
        <v>444</v>
      </c>
      <c r="D30" s="79"/>
      <c r="E30" s="30">
        <v>218.96</v>
      </c>
      <c r="F30" s="29">
        <f>C30+D30</f>
        <v>444</v>
      </c>
      <c r="G30" s="28">
        <v>14</v>
      </c>
      <c r="H30" s="31">
        <f>E30</f>
        <v>218.96</v>
      </c>
      <c r="I30" s="32">
        <f>G30*H30</f>
        <v>3065.44</v>
      </c>
      <c r="J30" s="28">
        <f>F30-G30</f>
        <v>430</v>
      </c>
      <c r="K30" s="40"/>
      <c r="L30" s="78"/>
      <c r="M30" s="78"/>
      <c r="N30" s="78"/>
      <c r="O30" s="78"/>
    </row>
    <row r="31" ht="19.5" customHeight="1" spans="1:15" x14ac:dyDescent="0.25">
      <c r="A31" s="37">
        <v>22</v>
      </c>
      <c r="B31" s="80" t="s">
        <v>56</v>
      </c>
      <c r="C31" s="28">
        <f>'شهر ماي'!J2076</f>
      </c>
      <c r="D31" s="81"/>
      <c r="E31" s="30">
        <v>2975</v>
      </c>
      <c r="F31" s="29">
        <f>C31+D31</f>
      </c>
      <c r="G31" s="28"/>
      <c r="H31" s="31">
        <f>E31</f>
        <v>2975</v>
      </c>
      <c r="I31" s="32">
        <f>G31*H31</f>
      </c>
      <c r="J31" s="28">
        <f>F31-G31</f>
      </c>
      <c r="K31" s="40"/>
      <c r="L31" s="82"/>
      <c r="M31" s="82"/>
      <c r="N31" s="82"/>
      <c r="O31" s="82"/>
    </row>
    <row r="32" ht="19.5" customHeight="1" spans="1:15" x14ac:dyDescent="0.25">
      <c r="A32" s="83">
        <v>23</v>
      </c>
      <c r="B32" s="84" t="s">
        <v>57</v>
      </c>
      <c r="C32" s="28">
        <f>'شهر ماي'!J2077</f>
      </c>
      <c r="D32" s="85"/>
      <c r="E32" s="30">
        <v>74.38</v>
      </c>
      <c r="F32" s="29">
        <f>C32+D32</f>
      </c>
      <c r="G32" s="28"/>
      <c r="H32" s="31">
        <f>E32</f>
        <v>74.38</v>
      </c>
      <c r="I32" s="32">
        <f>G32*H32</f>
      </c>
      <c r="J32" s="28">
        <f>F32-G32</f>
      </c>
      <c r="K32" s="40"/>
      <c r="L32" s="82"/>
      <c r="M32" s="82"/>
      <c r="N32" s="82"/>
      <c r="O32" s="82"/>
    </row>
    <row r="33" ht="19.5" customHeight="1" spans="1:15" x14ac:dyDescent="0.25">
      <c r="A33" s="62">
        <v>24</v>
      </c>
      <c r="B33" s="86" t="s">
        <v>58</v>
      </c>
      <c r="C33" s="28">
        <f>'شهر ماي'!J2078</f>
      </c>
      <c r="D33" s="87"/>
      <c r="E33" s="30">
        <v>1190</v>
      </c>
      <c r="F33" s="29">
        <f>C33+D33</f>
      </c>
      <c r="G33" s="28"/>
      <c r="H33" s="31">
        <f>E33</f>
        <v>1190</v>
      </c>
      <c r="I33" s="32">
        <f>G33*H33</f>
      </c>
      <c r="J33" s="28">
        <f>F33-G33</f>
      </c>
      <c r="K33" s="65"/>
      <c r="L33" s="82"/>
      <c r="M33" s="82"/>
      <c r="N33" s="82"/>
      <c r="O33" s="82"/>
    </row>
    <row r="34" ht="19.5" customHeight="1" spans="1:15" x14ac:dyDescent="0.25">
      <c r="A34" s="37">
        <v>25</v>
      </c>
      <c r="B34" s="43" t="s">
        <v>59</v>
      </c>
      <c r="C34" s="28">
        <f>'شهر ماي'!J2079</f>
        <v>13.8</v>
      </c>
      <c r="D34" s="44"/>
      <c r="E34" s="30">
        <v>600</v>
      </c>
      <c r="F34" s="29">
        <f>C34+D34</f>
        <v>13.8</v>
      </c>
      <c r="G34" s="28">
        <v>0.2</v>
      </c>
      <c r="H34" s="31">
        <f>E34</f>
        <v>600</v>
      </c>
      <c r="I34" s="32">
        <f>G34*H34</f>
        <v>120</v>
      </c>
      <c r="J34" s="28">
        <f>F34-G34</f>
        <v>13.6</v>
      </c>
      <c r="K34" s="33"/>
      <c r="L34" s="70"/>
      <c r="M34" s="71"/>
      <c r="N34" s="71"/>
      <c r="O34" s="72"/>
    </row>
    <row r="35" ht="19.5" customHeight="1" spans="1:15" x14ac:dyDescent="0.25">
      <c r="A35" s="37">
        <v>26</v>
      </c>
      <c r="B35" s="49" t="s">
        <v>60</v>
      </c>
      <c r="C35" s="28">
        <f>'شهر ماي'!J2080</f>
        <v>80</v>
      </c>
      <c r="D35" s="50"/>
      <c r="E35" s="30">
        <v>119</v>
      </c>
      <c r="F35" s="29">
        <f>C35+D35</f>
        <v>80</v>
      </c>
      <c r="G35" s="28">
        <v>1</v>
      </c>
      <c r="H35" s="31">
        <f>E35</f>
        <v>119</v>
      </c>
      <c r="I35" s="32">
        <f>G35*H35</f>
        <v>119</v>
      </c>
      <c r="J35" s="28">
        <f>F35-G35</f>
        <v>79</v>
      </c>
      <c r="K35" s="40"/>
      <c r="L35" s="1"/>
      <c r="M35" s="73" t="s">
        <v>61</v>
      </c>
      <c r="N35" s="73"/>
      <c r="O35" s="88"/>
    </row>
    <row r="36" ht="19.5" customHeight="1" spans="1:15" x14ac:dyDescent="0.25">
      <c r="A36" s="37">
        <v>27</v>
      </c>
      <c r="B36" s="49" t="s">
        <v>62</v>
      </c>
      <c r="C36" s="28">
        <f>'شهر ماي'!J2081</f>
        <v>64</v>
      </c>
      <c r="D36" s="50"/>
      <c r="E36" s="30">
        <v>47.6</v>
      </c>
      <c r="F36" s="29">
        <f>C36+D36</f>
        <v>64</v>
      </c>
      <c r="G36" s="28">
        <v>1</v>
      </c>
      <c r="H36" s="31">
        <f>E36</f>
        <v>47.6</v>
      </c>
      <c r="I36" s="32">
        <f>G36*H36</f>
        <v>47.6</v>
      </c>
      <c r="J36" s="28">
        <f>F36-G36</f>
        <v>63</v>
      </c>
      <c r="K36" s="40"/>
      <c r="L36" s="1"/>
      <c r="M36" s="1"/>
      <c r="N36" s="1"/>
      <c r="O36" s="88"/>
    </row>
    <row r="37" ht="19.5" customHeight="1" spans="1:15" x14ac:dyDescent="0.25">
      <c r="A37" s="37">
        <v>28</v>
      </c>
      <c r="B37" s="49" t="s">
        <v>63</v>
      </c>
      <c r="C37" s="28">
        <f>'شهر ماي'!J2082</f>
        <v>172</v>
      </c>
      <c r="D37" s="50"/>
      <c r="E37" s="30">
        <v>357</v>
      </c>
      <c r="F37" s="29">
        <f>C37+D37</f>
        <v>172</v>
      </c>
      <c r="G37" s="28">
        <v>2</v>
      </c>
      <c r="H37" s="31">
        <f>E37</f>
        <v>357</v>
      </c>
      <c r="I37" s="32">
        <f>G37*H37</f>
        <v>714</v>
      </c>
      <c r="J37" s="28">
        <f>F37-G37</f>
        <v>170</v>
      </c>
      <c r="K37" s="40"/>
      <c r="L37" s="78"/>
      <c r="M37" s="78"/>
      <c r="N37" s="78"/>
      <c r="O37" s="78"/>
    </row>
    <row r="38" ht="19.5" customHeight="1" spans="1:15" x14ac:dyDescent="0.25">
      <c r="A38" s="37">
        <v>29</v>
      </c>
      <c r="B38" s="49" t="s">
        <v>64</v>
      </c>
      <c r="C38" s="28">
        <f>'شهر ماي'!J2083</f>
      </c>
      <c r="D38" s="50"/>
      <c r="E38" s="30">
        <v>1904</v>
      </c>
      <c r="F38" s="29">
        <f>C38+D38</f>
      </c>
      <c r="G38" s="28"/>
      <c r="H38" s="31">
        <f>E38</f>
        <v>1904</v>
      </c>
      <c r="I38" s="32">
        <f>G38*H38</f>
      </c>
      <c r="J38" s="28">
        <f>F38-G38</f>
      </c>
      <c r="K38" s="45"/>
      <c r="L38" s="78"/>
      <c r="M38" s="78"/>
      <c r="N38" s="78"/>
      <c r="O38" s="78"/>
    </row>
    <row r="39" ht="19.5" customHeight="1" spans="1:15" x14ac:dyDescent="0.25">
      <c r="A39" s="37">
        <v>30</v>
      </c>
      <c r="B39" s="89" t="s">
        <v>65</v>
      </c>
      <c r="C39" s="28">
        <f>'شهر ماي'!J2084</f>
      </c>
      <c r="D39" s="50"/>
      <c r="E39" s="30">
        <v>1190</v>
      </c>
      <c r="F39" s="29">
        <f>C39+D39</f>
      </c>
      <c r="G39" s="28"/>
      <c r="H39" s="31">
        <f>E39</f>
        <v>1190</v>
      </c>
      <c r="I39" s="32">
        <f>G39*H39</f>
      </c>
      <c r="J39" s="28">
        <f>F39-G39</f>
      </c>
      <c r="K39" s="40"/>
      <c r="L39" s="78"/>
      <c r="M39" s="78"/>
      <c r="N39" s="78"/>
      <c r="O39" s="78"/>
    </row>
    <row r="40" ht="19.5" customHeight="1" spans="1:15" x14ac:dyDescent="0.25">
      <c r="A40" s="37">
        <v>31</v>
      </c>
      <c r="B40" s="43" t="s">
        <v>66</v>
      </c>
      <c r="C40" s="28">
        <f>'شهر ماي'!J2085</f>
        <v>0.95</v>
      </c>
      <c r="D40" s="90"/>
      <c r="E40" s="30">
        <v>1428</v>
      </c>
      <c r="F40" s="29">
        <f>C40+D40</f>
        <v>0.95</v>
      </c>
      <c r="G40" s="28">
        <v>0.2</v>
      </c>
      <c r="H40" s="31">
        <f>E40</f>
        <v>1428</v>
      </c>
      <c r="I40" s="32">
        <f>G40*H40</f>
        <v>285.6</v>
      </c>
      <c r="J40" s="28">
        <f>F40-G40</f>
        <v>0.75</v>
      </c>
      <c r="K40" s="45"/>
      <c r="L40" s="78" t="s">
        <v>67</v>
      </c>
      <c r="M40" s="78"/>
      <c r="N40" s="78"/>
      <c r="O40" s="78"/>
    </row>
    <row r="41" ht="19.5" customHeight="1" spans="1:15" x14ac:dyDescent="0.25">
      <c r="A41" s="37">
        <v>32</v>
      </c>
      <c r="B41" s="49" t="s">
        <v>68</v>
      </c>
      <c r="C41" s="28">
        <f>'شهر ماي'!J2086</f>
        <v>18</v>
      </c>
      <c r="D41" s="50"/>
      <c r="E41" s="30">
        <v>238</v>
      </c>
      <c r="F41" s="29">
        <f>C41+D41</f>
        <v>18</v>
      </c>
      <c r="G41" s="28">
        <v>1</v>
      </c>
      <c r="H41" s="31">
        <f>E41</f>
        <v>238</v>
      </c>
      <c r="I41" s="32">
        <f>G41*H41</f>
        <v>238</v>
      </c>
      <c r="J41" s="28">
        <f>F41-G41</f>
        <v>17</v>
      </c>
      <c r="K41" s="51"/>
      <c r="L41" s="78" t="s">
        <v>69</v>
      </c>
      <c r="M41" s="78"/>
      <c r="N41" s="78"/>
      <c r="O41" s="78"/>
    </row>
    <row r="42" ht="19.5" customHeight="1" spans="1:15" x14ac:dyDescent="0.25">
      <c r="A42" s="37">
        <v>33</v>
      </c>
      <c r="B42" s="43" t="s">
        <v>70</v>
      </c>
      <c r="C42" s="28">
        <f>'شهر ماي'!J2087</f>
      </c>
      <c r="D42" s="44"/>
      <c r="E42" s="30">
        <v>74.38</v>
      </c>
      <c r="F42" s="29">
        <f>C42+D42</f>
      </c>
      <c r="G42" s="28"/>
      <c r="H42" s="31">
        <f>E42</f>
        <v>74.38</v>
      </c>
      <c r="I42" s="32">
        <f>G42*H42</f>
      </c>
      <c r="J42" s="28">
        <f>F42-G42</f>
      </c>
      <c r="K42" s="51"/>
      <c r="L42" s="78"/>
      <c r="M42" s="78"/>
      <c r="N42" s="78"/>
      <c r="O42" s="78"/>
    </row>
    <row r="43" ht="19.5" customHeight="1" spans="1:15" x14ac:dyDescent="0.25">
      <c r="A43" s="37">
        <v>34</v>
      </c>
      <c r="B43" s="49" t="s">
        <v>71</v>
      </c>
      <c r="C43" s="28">
        <f>'شهر ماي'!J2088</f>
      </c>
      <c r="D43" s="50"/>
      <c r="E43" s="30">
        <v>714</v>
      </c>
      <c r="F43" s="29">
        <f>C43+D43</f>
      </c>
      <c r="G43" s="28"/>
      <c r="H43" s="31">
        <f>E43</f>
        <v>714</v>
      </c>
      <c r="I43" s="32">
        <f>G43*H43</f>
      </c>
      <c r="J43" s="28">
        <f>F43-G43</f>
      </c>
      <c r="K43" s="40"/>
      <c r="L43" s="78"/>
      <c r="M43" s="78"/>
      <c r="N43" s="78"/>
      <c r="O43" s="78"/>
    </row>
    <row r="44" ht="19.5" customHeight="1" spans="1:15" x14ac:dyDescent="0.25">
      <c r="A44" s="37">
        <v>35</v>
      </c>
      <c r="B44" s="43" t="s">
        <v>72</v>
      </c>
      <c r="C44" s="28">
        <f>'شهر ماي'!J2089</f>
        <v>172</v>
      </c>
      <c r="D44" s="44"/>
      <c r="E44" s="30">
        <v>152.6</v>
      </c>
      <c r="F44" s="29">
        <f>C44+D44</f>
        <v>172</v>
      </c>
      <c r="G44" s="28"/>
      <c r="H44" s="31">
        <f>E44</f>
        <v>152.6</v>
      </c>
      <c r="I44" s="32">
        <f>G44*H44</f>
      </c>
      <c r="J44" s="28">
        <f>F44-G44</f>
        <v>172</v>
      </c>
      <c r="K44" s="40"/>
      <c r="L44" s="78"/>
      <c r="M44" s="78"/>
      <c r="N44" s="78"/>
      <c r="O44" s="78"/>
    </row>
    <row r="45" ht="19.5" customHeight="1" spans="1:15" x14ac:dyDescent="0.25">
      <c r="A45" s="37">
        <v>36</v>
      </c>
      <c r="B45" s="49" t="s">
        <v>73</v>
      </c>
      <c r="C45" s="28">
        <f>'شهر ماي'!J2090</f>
        <v>382</v>
      </c>
      <c r="D45" s="50"/>
      <c r="E45" s="30">
        <v>272.5</v>
      </c>
      <c r="F45" s="29">
        <f>C45+D45</f>
        <v>382</v>
      </c>
      <c r="G45" s="28"/>
      <c r="H45" s="31">
        <f>E45</f>
        <v>272.5</v>
      </c>
      <c r="I45" s="32">
        <f>G45*H45</f>
      </c>
      <c r="J45" s="28">
        <f>F45-G45</f>
        <v>382</v>
      </c>
      <c r="K45" s="40"/>
      <c r="L45" s="78"/>
      <c r="M45" s="78"/>
      <c r="N45" s="78"/>
      <c r="O45" s="78"/>
    </row>
    <row r="46" ht="19.5" customHeight="1" spans="1:15" x14ac:dyDescent="0.25">
      <c r="A46" s="37">
        <v>37</v>
      </c>
      <c r="B46" s="43" t="s">
        <v>74</v>
      </c>
      <c r="C46" s="28">
        <f>'شهر ماي'!J2091</f>
        <v>360</v>
      </c>
      <c r="D46" s="44"/>
      <c r="E46" s="30">
        <v>348.8</v>
      </c>
      <c r="F46" s="29">
        <f>C46+D46</f>
        <v>360</v>
      </c>
      <c r="G46" s="28"/>
      <c r="H46" s="31">
        <f>E46</f>
        <v>348.8</v>
      </c>
      <c r="I46" s="32">
        <f>G46*H46</f>
      </c>
      <c r="J46" s="28">
        <f>F46-G46</f>
        <v>360</v>
      </c>
      <c r="K46" s="45"/>
      <c r="L46" s="78"/>
      <c r="M46" s="78"/>
      <c r="N46" s="78"/>
      <c r="O46" s="78"/>
    </row>
    <row r="47" ht="19.5" customHeight="1" spans="1:15" x14ac:dyDescent="0.25">
      <c r="A47" s="37">
        <v>38</v>
      </c>
      <c r="B47" s="49" t="s">
        <v>75</v>
      </c>
      <c r="C47" s="28">
        <f>'شهر ماي'!J2092</f>
        <v>396</v>
      </c>
      <c r="D47" s="50"/>
      <c r="E47" s="30">
        <v>403.3</v>
      </c>
      <c r="F47" s="29">
        <f>C47+D47</f>
        <v>396</v>
      </c>
      <c r="G47" s="28"/>
      <c r="H47" s="31">
        <f>E47</f>
        <v>403.3</v>
      </c>
      <c r="I47" s="32">
        <f>G47*H47</f>
      </c>
      <c r="J47" s="28">
        <f>F47-G47</f>
        <v>396</v>
      </c>
      <c r="K47" s="40"/>
      <c r="L47" s="78"/>
      <c r="M47" s="78"/>
      <c r="N47" s="78"/>
      <c r="O47" s="78"/>
    </row>
    <row r="48" ht="19.5" customHeight="1" spans="1:15" x14ac:dyDescent="0.25">
      <c r="A48" s="37">
        <v>39</v>
      </c>
      <c r="B48" s="49" t="s">
        <v>76</v>
      </c>
      <c r="C48" s="28">
        <f>'شهر ماي'!J2093</f>
        <v>535</v>
      </c>
      <c r="D48" s="50"/>
      <c r="E48" s="30">
        <v>130.8</v>
      </c>
      <c r="F48" s="29">
        <f>C48+D48</f>
        <v>535</v>
      </c>
      <c r="G48" s="28">
        <v>30</v>
      </c>
      <c r="H48" s="31">
        <f>E48</f>
        <v>130.8</v>
      </c>
      <c r="I48" s="32">
        <v>1308</v>
      </c>
      <c r="J48" s="28">
        <f>F48-G48</f>
        <v>505</v>
      </c>
      <c r="K48" s="40"/>
      <c r="L48" s="78" t="s">
        <v>77</v>
      </c>
      <c r="M48" s="78"/>
      <c r="N48" s="78"/>
      <c r="O48" s="78"/>
    </row>
    <row r="49" ht="19.5" customHeight="1" spans="1:15" x14ac:dyDescent="0.25">
      <c r="A49" s="37">
        <v>40</v>
      </c>
      <c r="B49" s="43" t="s">
        <v>78</v>
      </c>
      <c r="C49" s="28">
        <f>'شهر ماي'!J2094</f>
        <v>2260</v>
      </c>
      <c r="D49" s="44"/>
      <c r="E49" s="30">
        <v>17.85</v>
      </c>
      <c r="F49" s="29">
        <f>C49+D49</f>
        <v>2260</v>
      </c>
      <c r="G49" s="28">
        <v>111</v>
      </c>
      <c r="H49" s="31">
        <f>E49</f>
        <v>17.85</v>
      </c>
      <c r="I49" s="32">
        <f>G49*H49</f>
        <v>1981.35</v>
      </c>
      <c r="J49" s="28">
        <f>F49-G49</f>
        <v>2149</v>
      </c>
      <c r="K49" s="40"/>
      <c r="L49" s="78" t="s">
        <v>79</v>
      </c>
      <c r="M49" s="78"/>
      <c r="N49" s="78"/>
      <c r="O49" s="78"/>
    </row>
    <row r="50" ht="19.5" customHeight="1" spans="1:15" x14ac:dyDescent="0.25">
      <c r="A50" s="37">
        <v>41</v>
      </c>
      <c r="B50" s="49" t="s">
        <v>80</v>
      </c>
      <c r="C50" s="28">
        <f>'شهر ماي'!J2095</f>
      </c>
      <c r="D50" s="50"/>
      <c r="E50" s="30">
        <v>392.4</v>
      </c>
      <c r="F50" s="29">
        <f>C50+D50</f>
      </c>
      <c r="G50" s="28"/>
      <c r="H50" s="31">
        <f>E50</f>
        <v>392.4</v>
      </c>
      <c r="I50" s="32">
        <f>G50*H50</f>
      </c>
      <c r="J50" s="28">
        <f>F50-G50</f>
      </c>
      <c r="K50" s="40"/>
      <c r="L50" s="78"/>
      <c r="M50" s="78"/>
      <c r="N50" s="78"/>
      <c r="O50" s="78"/>
    </row>
    <row r="51" ht="19.5" customHeight="1" spans="1:15" x14ac:dyDescent="0.25">
      <c r="A51" s="37">
        <v>42</v>
      </c>
      <c r="B51" s="49" t="s">
        <v>81</v>
      </c>
      <c r="C51" s="28">
        <f>'شهر ماي'!J2096</f>
      </c>
      <c r="D51" s="50"/>
      <c r="E51" s="30">
        <v>130.8</v>
      </c>
      <c r="F51" s="29">
        <f>C51+D51</f>
      </c>
      <c r="G51" s="28"/>
      <c r="H51" s="31">
        <f>E51</f>
        <v>130.8</v>
      </c>
      <c r="I51" s="32">
        <f>G51*H51</f>
      </c>
      <c r="J51" s="28">
        <f>F51-G51</f>
      </c>
      <c r="K51" s="45"/>
      <c r="L51" s="78"/>
      <c r="M51" s="78"/>
      <c r="N51" s="78"/>
      <c r="O51" s="78"/>
    </row>
    <row r="52" ht="19.5" customHeight="1" spans="1:15" x14ac:dyDescent="0.25">
      <c r="A52" s="37">
        <v>43</v>
      </c>
      <c r="B52" s="43" t="s">
        <v>82</v>
      </c>
      <c r="C52" s="28">
        <f>'شهر ماي'!J2097</f>
        <v>63</v>
      </c>
      <c r="D52" s="44"/>
      <c r="E52" s="30">
        <v>207.1</v>
      </c>
      <c r="F52" s="29">
        <f>C52+D52</f>
        <v>63</v>
      </c>
      <c r="G52" s="28"/>
      <c r="H52" s="31">
        <f>E52</f>
        <v>207.1</v>
      </c>
      <c r="I52" s="32">
        <f>G52*H52</f>
      </c>
      <c r="J52" s="28">
        <f>F52-G52</f>
        <v>63</v>
      </c>
      <c r="K52" s="51"/>
      <c r="L52" s="78"/>
      <c r="M52" s="78"/>
      <c r="N52" s="78"/>
      <c r="O52" s="78"/>
    </row>
    <row r="53" ht="19.5" customHeight="1" spans="1:15" x14ac:dyDescent="0.25">
      <c r="A53" s="37">
        <v>44</v>
      </c>
      <c r="B53" s="49" t="s">
        <v>83</v>
      </c>
      <c r="C53" s="28">
        <f>'شهر ماي'!J2098</f>
      </c>
      <c r="D53" s="50"/>
      <c r="E53" s="30">
        <v>1737.4</v>
      </c>
      <c r="F53" s="29">
        <f>C53+D53</f>
      </c>
      <c r="G53" s="28"/>
      <c r="H53" s="31">
        <f>E53</f>
        <v>1737.4</v>
      </c>
      <c r="I53" s="32">
        <f>G53*H53</f>
      </c>
      <c r="J53" s="28">
        <f>F53-G53</f>
      </c>
      <c r="K53" s="51"/>
      <c r="L53" s="78"/>
      <c r="M53" s="78"/>
      <c r="N53" s="78"/>
      <c r="O53" s="78"/>
    </row>
    <row r="54" ht="19.5" customHeight="1" spans="1:15" x14ac:dyDescent="0.25">
      <c r="A54" s="37">
        <v>45</v>
      </c>
      <c r="B54" s="49" t="s">
        <v>84</v>
      </c>
      <c r="C54" s="28">
        <f>'شهر ماي'!J2099</f>
      </c>
      <c r="D54" s="50"/>
      <c r="E54" s="30">
        <v>618.8</v>
      </c>
      <c r="F54" s="29">
        <f>C54+D54</f>
      </c>
      <c r="G54" s="28"/>
      <c r="H54" s="31">
        <f>E54</f>
        <v>618.8</v>
      </c>
      <c r="I54" s="32">
        <f>G54*H54</f>
      </c>
      <c r="J54" s="28">
        <f>F54-G54</f>
      </c>
      <c r="K54" s="51"/>
      <c r="L54" s="78"/>
      <c r="M54" s="78"/>
      <c r="N54" s="78"/>
      <c r="O54" s="78"/>
    </row>
    <row r="55" ht="19.5" customHeight="1" spans="1:15" x14ac:dyDescent="0.25">
      <c r="A55" s="37">
        <v>46</v>
      </c>
      <c r="B55" s="49" t="s">
        <v>85</v>
      </c>
      <c r="C55" s="28">
        <f>'شهر ماي'!J2100</f>
        <v>1345</v>
      </c>
      <c r="D55" s="50"/>
      <c r="E55" s="30">
        <v>190.4</v>
      </c>
      <c r="F55" s="29">
        <f>C55+D55</f>
        <v>1345</v>
      </c>
      <c r="G55" s="28"/>
      <c r="H55" s="31">
        <f>E55</f>
        <v>190.4</v>
      </c>
      <c r="I55" s="32">
        <f>G55*H55</f>
      </c>
      <c r="J55" s="28">
        <f>F55-G55</f>
        <v>1345</v>
      </c>
      <c r="K55" s="51"/>
      <c r="L55" s="78"/>
      <c r="M55" s="78"/>
      <c r="N55" s="78"/>
      <c r="O55" s="78"/>
    </row>
    <row r="56" ht="19.5" customHeight="1" spans="1:15" x14ac:dyDescent="0.25">
      <c r="A56" s="37">
        <v>47</v>
      </c>
      <c r="B56" s="49" t="s">
        <v>86</v>
      </c>
      <c r="C56" s="28">
        <f>'شهر ماي'!J2101</f>
      </c>
      <c r="D56" s="50"/>
      <c r="E56" s="30">
        <v>654.5</v>
      </c>
      <c r="F56" s="29">
        <f>C56+D56</f>
      </c>
      <c r="G56" s="28"/>
      <c r="H56" s="31">
        <f>E56</f>
        <v>654.5</v>
      </c>
      <c r="I56" s="32">
        <f>G56*H56</f>
      </c>
      <c r="J56" s="28">
        <f>F56-G56</f>
      </c>
      <c r="K56" s="40"/>
      <c r="L56" s="82"/>
      <c r="M56" s="82"/>
      <c r="N56" s="82"/>
      <c r="O56" s="82"/>
    </row>
    <row r="57" ht="19.5" customHeight="1" spans="1:15" x14ac:dyDescent="0.25">
      <c r="A57" s="37">
        <v>48</v>
      </c>
      <c r="B57" s="49" t="s">
        <v>87</v>
      </c>
      <c r="C57" s="28">
        <f>'شهر ماي'!J2102</f>
      </c>
      <c r="D57" s="50"/>
      <c r="E57" s="30">
        <v>17.85</v>
      </c>
      <c r="F57" s="29">
        <f>C57+D57</f>
      </c>
      <c r="G57" s="28"/>
      <c r="H57" s="31">
        <f>E57</f>
        <v>17.85</v>
      </c>
      <c r="I57" s="32">
        <f>G57*H57</f>
      </c>
      <c r="J57" s="28">
        <f>F57-G57</f>
      </c>
      <c r="K57" s="40"/>
      <c r="L57" s="70"/>
      <c r="M57" s="71"/>
      <c r="N57" s="71"/>
      <c r="O57" s="72"/>
    </row>
    <row r="58" ht="19.5" customHeight="1" spans="1:15" x14ac:dyDescent="0.25">
      <c r="A58" s="62">
        <v>49</v>
      </c>
      <c r="B58" s="63" t="s">
        <v>88</v>
      </c>
      <c r="C58" s="28">
        <f>'شهر ماي'!J2103</f>
        <v>1054</v>
      </c>
      <c r="D58" s="64"/>
      <c r="E58" s="30">
        <v>119</v>
      </c>
      <c r="F58" s="29">
        <f>C58+D58</f>
        <v>1054</v>
      </c>
      <c r="G58" s="28"/>
      <c r="H58" s="31">
        <f>E58</f>
        <v>119</v>
      </c>
      <c r="I58" s="32">
        <f>G58*H58</f>
      </c>
      <c r="J58" s="28">
        <f>F58-G58</f>
        <v>1054</v>
      </c>
      <c r="K58" s="65"/>
      <c r="L58" s="10"/>
      <c r="M58" s="73" t="s">
        <v>25</v>
      </c>
      <c r="N58" s="73"/>
      <c r="O58" s="61"/>
    </row>
    <row r="59" ht="19.5" customHeight="1" spans="1:15" x14ac:dyDescent="0.25">
      <c r="A59" s="37">
        <v>50</v>
      </c>
      <c r="B59" s="27" t="s">
        <v>89</v>
      </c>
      <c r="C59" s="28">
        <f>'شهر ماي'!J2104</f>
        <v>5</v>
      </c>
      <c r="D59" s="29"/>
      <c r="E59" s="30">
        <v>65</v>
      </c>
      <c r="F59" s="29">
        <f>C59+D59</f>
        <v>5</v>
      </c>
      <c r="G59" s="28">
        <v>2</v>
      </c>
      <c r="H59" s="31">
        <f>E59</f>
        <v>65</v>
      </c>
      <c r="I59" s="32">
        <f>G59*H59</f>
        <v>130</v>
      </c>
      <c r="J59" s="28">
        <f>F59-G59</f>
        <v>3</v>
      </c>
      <c r="K59" s="33"/>
      <c r="L59" s="10"/>
      <c r="M59" s="10"/>
      <c r="N59" s="10"/>
      <c r="O59" s="61"/>
    </row>
    <row r="60" ht="19.5" customHeight="1" spans="1:15" x14ac:dyDescent="0.25">
      <c r="A60" s="37">
        <v>51</v>
      </c>
      <c r="B60" s="38" t="s">
        <v>90</v>
      </c>
      <c r="C60" s="28">
        <f>'شهر ماي'!J2105</f>
      </c>
      <c r="D60" s="39"/>
      <c r="E60" s="30">
        <v>95</v>
      </c>
      <c r="F60" s="29">
        <f>C60+D60</f>
      </c>
      <c r="G60" s="28"/>
      <c r="H60" s="31">
        <f>E60</f>
        <v>95</v>
      </c>
      <c r="I60" s="32">
        <f>G60*H60</f>
      </c>
      <c r="J60" s="28">
        <f>F60-G60</f>
      </c>
      <c r="K60" s="40"/>
      <c r="L60" s="78"/>
      <c r="M60" s="78"/>
      <c r="N60" s="78"/>
      <c r="O60" s="78"/>
    </row>
    <row r="61" ht="19.5" customHeight="1" spans="1:15" x14ac:dyDescent="0.25">
      <c r="A61" s="37">
        <v>52</v>
      </c>
      <c r="B61" s="43" t="s">
        <v>91</v>
      </c>
      <c r="C61" s="28">
        <f>'شهر ماي'!J2106</f>
        <v>6.9</v>
      </c>
      <c r="D61" s="44"/>
      <c r="E61" s="30">
        <v>450</v>
      </c>
      <c r="F61" s="29">
        <f>C61+D61</f>
        <v>6.9</v>
      </c>
      <c r="G61" s="28">
        <v>0.25</v>
      </c>
      <c r="H61" s="31">
        <f>E61</f>
        <v>450</v>
      </c>
      <c r="I61" s="32">
        <f>G61*H61</f>
        <v>112.5</v>
      </c>
      <c r="J61" s="28">
        <f>F61-G61</f>
        <v>6.65</v>
      </c>
      <c r="K61" s="45"/>
      <c r="L61" s="82"/>
      <c r="M61" s="82"/>
      <c r="N61" s="82"/>
      <c r="O61" s="82"/>
    </row>
    <row r="62" ht="19.5" customHeight="1" spans="1:15" x14ac:dyDescent="0.25">
      <c r="A62" s="37">
        <v>53</v>
      </c>
      <c r="B62" s="49" t="s">
        <v>92</v>
      </c>
      <c r="C62" s="28">
        <f>'شهر ماي'!J2107</f>
        <v>8</v>
      </c>
      <c r="D62" s="50"/>
      <c r="E62" s="30">
        <v>75</v>
      </c>
      <c r="F62" s="29">
        <f>C62+D62</f>
        <v>8</v>
      </c>
      <c r="G62" s="28"/>
      <c r="H62" s="31">
        <f>E62</f>
        <v>75</v>
      </c>
      <c r="I62" s="32">
        <f>G62*H62</f>
      </c>
      <c r="J62" s="28">
        <f>F62-G62</f>
        <v>8</v>
      </c>
      <c r="K62" s="51"/>
      <c r="L62" s="78"/>
      <c r="M62" s="78"/>
      <c r="N62" s="78"/>
      <c r="O62" s="78"/>
    </row>
    <row r="63" ht="19.5" customHeight="1" spans="1:15" x14ac:dyDescent="0.25">
      <c r="A63" s="37">
        <v>54</v>
      </c>
      <c r="B63" s="91" t="s">
        <v>93</v>
      </c>
      <c r="C63" s="28">
        <f>'شهر ماي'!J2108</f>
        <v>120</v>
      </c>
      <c r="D63" s="50"/>
      <c r="E63" s="30">
        <v>125</v>
      </c>
      <c r="F63" s="29">
        <f>C63+D63</f>
        <v>120</v>
      </c>
      <c r="G63" s="28">
        <v>30</v>
      </c>
      <c r="H63" s="31">
        <f>E63</f>
        <v>125</v>
      </c>
      <c r="I63" s="32">
        <v>1250</v>
      </c>
      <c r="J63" s="28">
        <f>F63-G63</f>
        <v>90</v>
      </c>
      <c r="K63" s="40"/>
      <c r="L63" s="78"/>
      <c r="M63" s="78"/>
      <c r="N63" s="78"/>
      <c r="O63" s="78"/>
    </row>
    <row r="64" ht="19.5" customHeight="1" spans="1:15" x14ac:dyDescent="0.25">
      <c r="A64" s="37">
        <v>55</v>
      </c>
      <c r="B64" s="38" t="s">
        <v>94</v>
      </c>
      <c r="C64" s="28">
        <f>'شهر ماي'!J2109</f>
        <v>5</v>
      </c>
      <c r="D64" s="39"/>
      <c r="E64" s="30">
        <v>120</v>
      </c>
      <c r="F64" s="29">
        <f>C64+D64</f>
        <v>5</v>
      </c>
      <c r="G64" s="28">
        <v>2</v>
      </c>
      <c r="H64" s="31">
        <f>E64</f>
        <v>120</v>
      </c>
      <c r="I64" s="32">
        <f>G64*H64</f>
        <v>240</v>
      </c>
      <c r="J64" s="28">
        <f>F64-G64</f>
        <v>3</v>
      </c>
      <c r="K64" s="45"/>
      <c r="L64" s="78"/>
      <c r="M64" s="78"/>
      <c r="N64" s="78"/>
      <c r="O64" s="78"/>
    </row>
    <row r="65" ht="19.5" customHeight="1" spans="1:15" x14ac:dyDescent="0.25">
      <c r="A65" s="37">
        <v>56</v>
      </c>
      <c r="B65" s="49" t="s">
        <v>95</v>
      </c>
      <c r="C65" s="28">
        <f>'شهر ماي'!J2110</f>
        <v>9</v>
      </c>
      <c r="D65" s="50"/>
      <c r="E65" s="30">
        <v>95</v>
      </c>
      <c r="F65" s="29">
        <f>C65+D65</f>
        <v>9</v>
      </c>
      <c r="G65" s="28">
        <v>3</v>
      </c>
      <c r="H65" s="31">
        <f>E65</f>
        <v>95</v>
      </c>
      <c r="I65" s="32">
        <f>G65*H65</f>
        <v>285</v>
      </c>
      <c r="J65" s="28">
        <f>F65-G65</f>
        <v>6</v>
      </c>
      <c r="K65" s="40"/>
      <c r="L65" s="78"/>
      <c r="M65" s="78"/>
      <c r="N65" s="78"/>
      <c r="O65" s="78"/>
    </row>
    <row r="66" ht="19.5" customHeight="1" spans="1:15" x14ac:dyDescent="0.25">
      <c r="A66" s="37">
        <v>57</v>
      </c>
      <c r="B66" s="38" t="s">
        <v>96</v>
      </c>
      <c r="C66" s="28">
        <f>'شهر ماي'!J2111</f>
      </c>
      <c r="D66" s="39"/>
      <c r="E66" s="30">
        <v>90</v>
      </c>
      <c r="F66" s="29">
        <f>C66+D66</f>
      </c>
      <c r="G66" s="28"/>
      <c r="H66" s="31">
        <f>E66</f>
        <v>90</v>
      </c>
      <c r="I66" s="32">
        <f>G66*H66</f>
      </c>
      <c r="J66" s="28">
        <f>F66-G66</f>
      </c>
      <c r="K66" s="45"/>
      <c r="L66" s="78"/>
      <c r="M66" s="78"/>
      <c r="N66" s="78"/>
      <c r="O66" s="78"/>
    </row>
    <row r="67" ht="19.5" customHeight="1" spans="1:15" x14ac:dyDescent="0.25">
      <c r="A67" s="37">
        <v>58</v>
      </c>
      <c r="B67" s="38" t="s">
        <v>97</v>
      </c>
      <c r="C67" s="28">
        <f>'شهر ماي'!J2112</f>
      </c>
      <c r="D67" s="39"/>
      <c r="E67" s="30">
        <v>110</v>
      </c>
      <c r="F67" s="29">
        <f>C67+D67</f>
      </c>
      <c r="G67" s="28"/>
      <c r="H67" s="31">
        <f>E67</f>
        <v>110</v>
      </c>
      <c r="I67" s="32">
        <f>G67*H67</f>
      </c>
      <c r="J67" s="28">
        <f>F67-G67</f>
      </c>
      <c r="K67" s="51"/>
      <c r="L67" s="78"/>
      <c r="M67" s="78"/>
      <c r="N67" s="78"/>
      <c r="O67" s="78"/>
    </row>
    <row r="68" ht="19.5" customHeight="1" spans="1:15" x14ac:dyDescent="0.25">
      <c r="A68" s="37">
        <v>59</v>
      </c>
      <c r="B68" s="38" t="s">
        <v>98</v>
      </c>
      <c r="C68" s="28">
        <f>'شهر ماي'!J2113</f>
        <v>7</v>
      </c>
      <c r="D68" s="39"/>
      <c r="E68" s="30">
        <v>110</v>
      </c>
      <c r="F68" s="29">
        <f>C68+D68</f>
        <v>7</v>
      </c>
      <c r="G68" s="28">
        <v>2</v>
      </c>
      <c r="H68" s="31">
        <f>E68</f>
        <v>110</v>
      </c>
      <c r="I68" s="32">
        <f>G68*H68</f>
        <v>220</v>
      </c>
      <c r="J68" s="28">
        <f>F68-G68</f>
        <v>5</v>
      </c>
      <c r="K68" s="51"/>
      <c r="L68" s="82"/>
      <c r="M68" s="82"/>
      <c r="N68" s="82"/>
      <c r="O68" s="82"/>
    </row>
    <row r="69" ht="19.5" customHeight="1" spans="1:15" x14ac:dyDescent="0.25">
      <c r="A69" s="37">
        <v>60</v>
      </c>
      <c r="B69" s="89" t="s">
        <v>99</v>
      </c>
      <c r="C69" s="28">
        <f>'شهر ماي'!J2114</f>
      </c>
      <c r="D69" s="39"/>
      <c r="E69" s="30">
        <v>125</v>
      </c>
      <c r="F69" s="29">
        <f>C69+D69</f>
      </c>
      <c r="G69" s="28"/>
      <c r="H69" s="31">
        <f>E69</f>
        <v>125</v>
      </c>
      <c r="I69" s="32">
        <f>G69*H69</f>
      </c>
      <c r="J69" s="28">
        <f>F69-G69</f>
      </c>
      <c r="K69" s="40"/>
      <c r="L69" s="82"/>
      <c r="M69" s="82"/>
      <c r="N69" s="82"/>
      <c r="O69" s="82"/>
    </row>
    <row r="70" ht="19.5" customHeight="1" spans="1:15" x14ac:dyDescent="0.25">
      <c r="A70" s="37">
        <v>61</v>
      </c>
      <c r="B70" s="92" t="s">
        <v>100</v>
      </c>
      <c r="C70" s="28">
        <f>'شهر ماي'!J2115</f>
        <v>67</v>
      </c>
      <c r="D70" s="39"/>
      <c r="E70" s="30">
        <v>487.9</v>
      </c>
      <c r="F70" s="29">
        <f>C70+D70</f>
        <v>67</v>
      </c>
      <c r="G70" s="28">
        <v>1</v>
      </c>
      <c r="H70" s="31">
        <f>E70</f>
        <v>487.9</v>
      </c>
      <c r="I70" s="32">
        <f>G70*H70</f>
        <v>487.9</v>
      </c>
      <c r="J70" s="28">
        <f>F70-G70</f>
        <v>66</v>
      </c>
      <c r="K70" s="40"/>
      <c r="L70" s="82"/>
      <c r="M70" s="82"/>
      <c r="N70" s="82"/>
      <c r="O70" s="82"/>
    </row>
    <row r="71" ht="19.5" customHeight="1" spans="1:15" x14ac:dyDescent="0.25">
      <c r="A71" s="37">
        <v>62</v>
      </c>
      <c r="B71" s="92" t="s">
        <v>101</v>
      </c>
      <c r="C71" s="28">
        <f>'شهر ماي'!J2116</f>
        <v>7</v>
      </c>
      <c r="D71" s="39"/>
      <c r="E71" s="30">
        <v>559.3</v>
      </c>
      <c r="F71" s="29">
        <f>C71+D71</f>
        <v>7</v>
      </c>
      <c r="G71" s="28"/>
      <c r="H71" s="31">
        <f>E71</f>
        <v>559.3</v>
      </c>
      <c r="I71" s="32">
        <f>G71*H71</f>
      </c>
      <c r="J71" s="28">
        <f>F71-G71</f>
        <v>7</v>
      </c>
      <c r="K71" s="40"/>
      <c r="L71" s="82"/>
      <c r="M71" s="82"/>
      <c r="N71" s="82"/>
      <c r="O71" s="82"/>
    </row>
    <row r="72" ht="19.5" customHeight="1" spans="1:15" x14ac:dyDescent="0.25">
      <c r="A72" s="37">
        <v>63</v>
      </c>
      <c r="B72" s="43" t="s">
        <v>102</v>
      </c>
      <c r="C72" s="28">
        <f>'شهر ماي'!J2117</f>
      </c>
      <c r="D72" s="39"/>
      <c r="E72" s="30">
        <v>400</v>
      </c>
      <c r="F72" s="29">
        <f>C72+D72</f>
      </c>
      <c r="G72" s="28"/>
      <c r="H72" s="31">
        <f>E72</f>
        <v>400</v>
      </c>
      <c r="I72" s="32">
        <f>G72*H72</f>
      </c>
      <c r="J72" s="28">
        <f>F72-G72</f>
      </c>
      <c r="K72" s="45"/>
      <c r="L72" s="78"/>
      <c r="M72" s="78"/>
      <c r="N72" s="78"/>
      <c r="O72" s="78"/>
    </row>
    <row r="73" ht="19.5" customHeight="1" spans="1:15" x14ac:dyDescent="0.25">
      <c r="A73" s="37">
        <v>64</v>
      </c>
      <c r="B73" s="49" t="s">
        <v>103</v>
      </c>
      <c r="C73" s="28">
        <f>'شهر ماي'!J2118</f>
        <v>32</v>
      </c>
      <c r="D73" s="50"/>
      <c r="E73" s="30">
        <v>93</v>
      </c>
      <c r="F73" s="29">
        <f>C73+D73</f>
        <v>32</v>
      </c>
      <c r="G73" s="28">
        <v>8</v>
      </c>
      <c r="H73" s="31">
        <f>E73</f>
        <v>93</v>
      </c>
      <c r="I73" s="32">
        <f>G73*H73</f>
        <v>744</v>
      </c>
      <c r="J73" s="28">
        <f>F73-G73</f>
        <v>24</v>
      </c>
      <c r="K73" s="51"/>
      <c r="L73" s="78"/>
      <c r="M73" s="78"/>
      <c r="N73" s="78"/>
      <c r="O73" s="78"/>
    </row>
    <row r="74" ht="19.5" customHeight="1" spans="1:15" x14ac:dyDescent="0.25">
      <c r="A74" s="37">
        <v>65</v>
      </c>
      <c r="B74" s="43" t="s">
        <v>104</v>
      </c>
      <c r="C74" s="28">
        <f>'شهر ماي'!J2119</f>
      </c>
      <c r="D74" s="44"/>
      <c r="E74" s="30">
        <v>100</v>
      </c>
      <c r="F74" s="29">
        <f>C74+D74</f>
      </c>
      <c r="G74" s="28"/>
      <c r="H74" s="31">
        <f>E74</f>
        <v>100</v>
      </c>
      <c r="I74" s="32">
        <f>G74*H74</f>
      </c>
      <c r="J74" s="28">
        <f>F74-G74</f>
      </c>
      <c r="K74" s="51"/>
      <c r="L74" s="82"/>
      <c r="M74" s="82"/>
      <c r="N74" s="82"/>
      <c r="O74" s="82"/>
    </row>
    <row r="75" ht="19.5" customHeight="1" spans="1:15" x14ac:dyDescent="0.25">
      <c r="A75" s="37">
        <v>66</v>
      </c>
      <c r="B75" s="91" t="s">
        <v>105</v>
      </c>
      <c r="C75" s="28">
        <f>'شهر ماي'!J2120</f>
      </c>
      <c r="D75" s="50"/>
      <c r="E75" s="30">
        <v>240</v>
      </c>
      <c r="F75" s="29">
        <f>C75+D75</f>
      </c>
      <c r="G75" s="28"/>
      <c r="H75" s="31">
        <f>E75</f>
        <v>240</v>
      </c>
      <c r="I75" s="32">
        <f>G75*H75</f>
      </c>
      <c r="J75" s="28">
        <f>F75-G75</f>
      </c>
      <c r="K75" s="40"/>
      <c r="L75" s="82"/>
      <c r="M75" s="82"/>
      <c r="N75" s="82"/>
      <c r="O75" s="82"/>
    </row>
    <row r="76" ht="19.5" customHeight="1" spans="1:15" x14ac:dyDescent="0.25">
      <c r="A76" s="37">
        <v>67</v>
      </c>
      <c r="B76" s="91" t="s">
        <v>106</v>
      </c>
      <c r="C76" s="28">
        <f>'شهر ماي'!J2121</f>
      </c>
      <c r="D76" s="50"/>
      <c r="E76" s="30">
        <v>100</v>
      </c>
      <c r="F76" s="29">
        <f>C76+D76</f>
      </c>
      <c r="G76" s="28"/>
      <c r="H76" s="31">
        <f>E76</f>
        <v>100</v>
      </c>
      <c r="I76" s="32">
        <f>G76*H76</f>
      </c>
      <c r="J76" s="28">
        <f>F76-G76</f>
      </c>
      <c r="K76" s="45"/>
      <c r="L76" s="70"/>
      <c r="M76" s="71"/>
      <c r="N76" s="71"/>
      <c r="O76" s="72"/>
    </row>
    <row r="77" ht="19.5" customHeight="1" spans="1:15" x14ac:dyDescent="0.25">
      <c r="A77" s="37">
        <v>68</v>
      </c>
      <c r="B77" s="91" t="s">
        <v>107</v>
      </c>
      <c r="C77" s="28">
        <f>'شهر ماي'!J2122</f>
      </c>
      <c r="D77" s="50"/>
      <c r="E77" s="30">
        <v>120</v>
      </c>
      <c r="F77" s="29">
        <f>C77+D77</f>
      </c>
      <c r="G77" s="28"/>
      <c r="H77" s="31">
        <f>E77</f>
        <v>120</v>
      </c>
      <c r="I77" s="32">
        <f>G77*H77</f>
      </c>
      <c r="J77" s="28">
        <f>F77-G77</f>
      </c>
      <c r="K77" s="40"/>
      <c r="L77" s="67" t="s">
        <v>108</v>
      </c>
      <c r="M77" s="67"/>
      <c r="N77" s="67"/>
      <c r="O77" s="67"/>
    </row>
    <row r="78" ht="19.5" customHeight="1" spans="1:15" x14ac:dyDescent="0.25">
      <c r="A78" s="37">
        <v>69</v>
      </c>
      <c r="B78" s="91" t="s">
        <v>109</v>
      </c>
      <c r="C78" s="28">
        <f>'شهر ماي'!J2123</f>
      </c>
      <c r="D78" s="50"/>
      <c r="E78" s="30">
        <v>130</v>
      </c>
      <c r="F78" s="29">
        <f>C78+D78</f>
      </c>
      <c r="G78" s="28"/>
      <c r="H78" s="31">
        <f>E78</f>
        <v>130</v>
      </c>
      <c r="I78" s="32">
        <f>G78*H78</f>
      </c>
      <c r="J78" s="28">
        <f>F78-G78</f>
      </c>
      <c r="K78" s="40"/>
      <c r="L78" s="67"/>
      <c r="M78" s="67"/>
      <c r="N78" s="67"/>
      <c r="O78" s="67"/>
    </row>
    <row r="79" ht="19.5" customHeight="1" spans="1:15" x14ac:dyDescent="0.25">
      <c r="A79" s="62">
        <v>70</v>
      </c>
      <c r="B79" s="86" t="s">
        <v>110</v>
      </c>
      <c r="C79" s="28">
        <f>'شهر ماي'!J2124</f>
      </c>
      <c r="D79" s="87"/>
      <c r="E79" s="30">
        <v>150</v>
      </c>
      <c r="F79" s="29">
        <f>C79+D79</f>
      </c>
      <c r="G79" s="28"/>
      <c r="H79" s="31">
        <f>E79</f>
        <v>150</v>
      </c>
      <c r="I79" s="32">
        <f>G79*H79</f>
      </c>
      <c r="J79" s="28">
        <f>F79-G79</f>
      </c>
      <c r="K79" s="65"/>
      <c r="L79" s="10"/>
      <c r="M79" s="10"/>
      <c r="N79" s="10"/>
      <c r="O79" s="61"/>
    </row>
    <row r="80" ht="19.5" customHeight="1" spans="1:15" x14ac:dyDescent="0.25">
      <c r="A80" s="37">
        <v>71</v>
      </c>
      <c r="B80" s="38" t="s">
        <v>111</v>
      </c>
      <c r="C80" s="28">
        <f>'شهر ماي'!J2125</f>
        <v>69</v>
      </c>
      <c r="D80" s="39"/>
      <c r="E80" s="30">
        <v>230</v>
      </c>
      <c r="F80" s="29">
        <f>C80+D80</f>
        <v>69</v>
      </c>
      <c r="G80" s="28">
        <v>23</v>
      </c>
      <c r="H80" s="31">
        <f>E80</f>
        <v>230</v>
      </c>
      <c r="I80" s="32">
        <f>G80*H80</f>
        <v>5290</v>
      </c>
      <c r="J80" s="28">
        <f>F80-G80</f>
        <v>46</v>
      </c>
      <c r="K80" s="68"/>
      <c r="L80" s="93" t="s">
        <v>112</v>
      </c>
      <c r="M80" s="93"/>
      <c r="N80" s="93"/>
      <c r="O80" s="93"/>
    </row>
    <row r="81" ht="19.5" customHeight="1" spans="1:15" x14ac:dyDescent="0.25">
      <c r="A81" s="37">
        <v>72</v>
      </c>
      <c r="B81" s="89" t="s">
        <v>113</v>
      </c>
      <c r="C81" s="28">
        <f>'شهر ماي'!J2126</f>
      </c>
      <c r="D81" s="39"/>
      <c r="E81" s="30">
        <v>230</v>
      </c>
      <c r="F81" s="29">
        <f>C81+D81</f>
      </c>
      <c r="G81" s="28"/>
      <c r="H81" s="31">
        <f>E81</f>
        <v>230</v>
      </c>
      <c r="I81" s="32">
        <f>G81*H81</f>
      </c>
      <c r="J81" s="28">
        <f>F81-G81</f>
      </c>
      <c r="K81" s="65"/>
      <c r="L81" s="94" t="s">
        <v>114</v>
      </c>
      <c r="M81" s="94"/>
      <c r="N81" s="94"/>
      <c r="O81" s="94"/>
    </row>
    <row r="82" ht="19.5" customHeight="1" spans="1:15" x14ac:dyDescent="0.25">
      <c r="A82" s="37">
        <v>73</v>
      </c>
      <c r="B82" s="92" t="s">
        <v>115</v>
      </c>
      <c r="C82" s="28">
        <f>'شهر ماي'!J2127</f>
      </c>
      <c r="D82" s="39"/>
      <c r="E82" s="30">
        <v>260</v>
      </c>
      <c r="F82" s="29">
        <f>C82+D82</f>
      </c>
      <c r="G82" s="28"/>
      <c r="H82" s="31">
        <f>E82</f>
        <v>260</v>
      </c>
      <c r="I82" s="32">
        <f>G82*H82</f>
      </c>
      <c r="J82" s="28">
        <f>F82-G82</f>
      </c>
      <c r="K82" s="65"/>
      <c r="L82" s="95"/>
      <c r="M82" s="95"/>
      <c r="N82" s="95"/>
      <c r="O82" s="95"/>
    </row>
    <row r="83" ht="19.5" customHeight="1" spans="1:15" x14ac:dyDescent="0.25">
      <c r="A83" s="37">
        <v>74</v>
      </c>
      <c r="B83" s="43" t="s">
        <v>116</v>
      </c>
      <c r="C83" s="28">
        <f>'شهر ماي'!J2128</f>
      </c>
      <c r="D83" s="39"/>
      <c r="E83" s="30">
        <v>430</v>
      </c>
      <c r="F83" s="29">
        <f>C83+D83</f>
      </c>
      <c r="G83" s="28"/>
      <c r="H83" s="31">
        <f>E83</f>
        <v>430</v>
      </c>
      <c r="I83" s="32">
        <f>G83*H83</f>
      </c>
      <c r="J83" s="28">
        <f>F83-G83</f>
      </c>
      <c r="K83" s="40"/>
      <c r="L83" s="96" t="s">
        <v>117</v>
      </c>
      <c r="M83" s="97">
        <f>I99</f>
        <v>17438.39</v>
      </c>
      <c r="N83" s="97"/>
      <c r="O83" s="97"/>
    </row>
    <row r="84" ht="19.5" customHeight="1" spans="1:15" x14ac:dyDescent="0.25">
      <c r="A84" s="37">
        <v>75</v>
      </c>
      <c r="B84" s="49" t="s">
        <v>118</v>
      </c>
      <c r="C84" s="28">
        <f>'شهر ماي'!J2129</f>
      </c>
      <c r="D84" s="39"/>
      <c r="E84" s="30">
        <v>476</v>
      </c>
      <c r="F84" s="29">
        <f>C84+D84</f>
      </c>
      <c r="G84" s="28"/>
      <c r="H84" s="31">
        <f>E84</f>
        <v>476</v>
      </c>
      <c r="I84" s="32">
        <v>0</v>
      </c>
      <c r="J84" s="28">
        <f>F84-G84</f>
      </c>
      <c r="K84" s="40"/>
      <c r="L84" s="96"/>
      <c r="M84" s="98">
        <f>N18</f>
        <v>111</v>
      </c>
      <c r="N84" s="98"/>
      <c r="O84" s="98"/>
    </row>
    <row r="85" ht="19.5" customHeight="1" spans="1:15" x14ac:dyDescent="0.25">
      <c r="A85" s="37">
        <v>76</v>
      </c>
      <c r="B85" s="91" t="s">
        <v>119</v>
      </c>
      <c r="C85" s="28">
        <f>'شهر ماي'!J2130</f>
      </c>
      <c r="D85" s="39"/>
      <c r="E85" s="30">
        <v>450</v>
      </c>
      <c r="F85" s="29">
        <f>C85+D85</f>
      </c>
      <c r="G85" s="28"/>
      <c r="H85" s="31">
        <f>E85</f>
        <v>450</v>
      </c>
      <c r="I85" s="32">
        <f>G85*H85</f>
      </c>
      <c r="J85" s="28">
        <f>F85-G85</f>
      </c>
      <c r="K85" s="40"/>
      <c r="L85" s="99"/>
      <c r="M85" s="99"/>
      <c r="N85" s="99"/>
      <c r="O85" s="100"/>
    </row>
    <row r="86" ht="19.5" customHeight="1" spans="1:15" x14ac:dyDescent="0.25">
      <c r="A86" s="37">
        <v>77</v>
      </c>
      <c r="B86" s="43" t="s">
        <v>120</v>
      </c>
      <c r="C86" s="28">
        <f>'شهر ماي'!J2131</f>
      </c>
      <c r="D86" s="39"/>
      <c r="E86" s="30">
        <v>0</v>
      </c>
      <c r="F86" s="29">
        <f>C86+D86</f>
      </c>
      <c r="G86" s="28"/>
      <c r="H86" s="31">
        <f>E86</f>
      </c>
      <c r="I86" s="32">
        <f>G86*H86</f>
      </c>
      <c r="J86" s="28">
        <f>F86-G86</f>
      </c>
      <c r="K86" s="40"/>
      <c r="L86" s="101" t="s">
        <v>117</v>
      </c>
      <c r="M86" s="102">
        <f>M83/M84</f>
        <v>157.1</v>
      </c>
      <c r="N86" s="102"/>
      <c r="O86" s="102"/>
    </row>
    <row r="87" ht="19.5" customHeight="1" spans="1:15" x14ac:dyDescent="0.25">
      <c r="A87" s="37">
        <v>78</v>
      </c>
      <c r="B87" s="103" t="s">
        <v>121</v>
      </c>
      <c r="C87" s="28">
        <f>'شهر ماي'!J2132</f>
      </c>
      <c r="D87" s="39"/>
      <c r="E87" s="30">
        <v>250</v>
      </c>
      <c r="F87" s="29">
        <f>C87+D87</f>
      </c>
      <c r="G87" s="28"/>
      <c r="H87" s="31">
        <f>E87</f>
        <v>250</v>
      </c>
      <c r="I87" s="32">
        <f>G87*H87</f>
      </c>
      <c r="J87" s="28">
        <f>F87-G87</f>
      </c>
      <c r="K87" s="40"/>
      <c r="L87" s="70"/>
      <c r="M87" s="71"/>
      <c r="N87" s="71"/>
      <c r="O87" s="72"/>
    </row>
    <row r="88" ht="19.5" customHeight="1" spans="1:15" x14ac:dyDescent="0.25">
      <c r="A88" s="37">
        <v>79</v>
      </c>
      <c r="B88" s="91" t="s">
        <v>122</v>
      </c>
      <c r="C88" s="28">
        <f>'شهر ماي'!J2133</f>
        <v>579</v>
      </c>
      <c r="D88" s="39"/>
      <c r="E88" s="30">
        <v>23.8</v>
      </c>
      <c r="F88" s="29">
        <f>C88+D88</f>
        <v>579</v>
      </c>
      <c r="G88" s="28">
        <v>240</v>
      </c>
      <c r="H88" s="31">
        <f>E88</f>
        <v>23.8</v>
      </c>
      <c r="I88" s="32">
        <v>0</v>
      </c>
      <c r="J88" s="28">
        <f>F88-G88</f>
        <v>339</v>
      </c>
      <c r="K88" s="40"/>
      <c r="L88" s="10" t="s">
        <v>123</v>
      </c>
      <c r="M88" s="10"/>
      <c r="N88" s="10"/>
      <c r="O88" s="61"/>
    </row>
    <row r="89" ht="19.5" customHeight="1" spans="1:15" x14ac:dyDescent="0.25">
      <c r="A89" s="37">
        <v>80</v>
      </c>
      <c r="B89" s="49" t="s">
        <v>124</v>
      </c>
      <c r="C89" s="28">
        <f>'شهر ماي'!J2134</f>
      </c>
      <c r="D89" s="50"/>
      <c r="E89" s="30">
        <v>22.43</v>
      </c>
      <c r="F89" s="29">
        <f>C89+D89</f>
      </c>
      <c r="G89" s="28"/>
      <c r="H89" s="31">
        <f>E89</f>
        <v>22.43</v>
      </c>
      <c r="I89" s="32">
        <f>G89*H89</f>
      </c>
      <c r="J89" s="28">
        <f>F89-G89</f>
      </c>
      <c r="K89" s="45"/>
      <c r="L89" s="104" t="s">
        <v>125</v>
      </c>
      <c r="M89" s="104"/>
      <c r="N89" s="104"/>
      <c r="O89" s="104"/>
    </row>
    <row r="90" ht="19.5" customHeight="1" spans="1:15" x14ac:dyDescent="0.25">
      <c r="A90" s="37">
        <v>81</v>
      </c>
      <c r="B90" s="103" t="s">
        <v>120</v>
      </c>
      <c r="C90" s="28">
        <f>'شهر ماي'!J2135</f>
      </c>
      <c r="D90" s="105"/>
      <c r="E90" s="30">
        <v>0</v>
      </c>
      <c r="F90" s="29">
        <f>C90+D90</f>
      </c>
      <c r="G90" s="28"/>
      <c r="H90" s="31">
        <f>E90</f>
      </c>
      <c r="I90" s="32">
        <f>G90*H90</f>
      </c>
      <c r="J90" s="28">
        <f>F90-G90</f>
      </c>
      <c r="K90" s="51"/>
      <c r="L90" s="10"/>
      <c r="M90" s="10"/>
      <c r="N90" s="10"/>
      <c r="O90" s="61"/>
    </row>
    <row r="91" ht="19.5" customHeight="1" spans="1:15" x14ac:dyDescent="0.25">
      <c r="A91" s="37">
        <v>82</v>
      </c>
      <c r="B91" s="91" t="s">
        <v>126</v>
      </c>
      <c r="C91" s="28">
        <f>'شهر ماي'!J2136</f>
        <v>1557</v>
      </c>
      <c r="D91" s="106"/>
      <c r="E91" s="30">
        <v>26.18</v>
      </c>
      <c r="F91" s="29">
        <f>C91+D91</f>
        <v>1557</v>
      </c>
      <c r="G91" s="28"/>
      <c r="H91" s="31">
        <f>E91</f>
        <v>26.18</v>
      </c>
      <c r="I91" s="32">
        <f>G91*H91</f>
      </c>
      <c r="J91" s="28">
        <f>F91-G91</f>
        <v>1557</v>
      </c>
      <c r="K91" s="51"/>
      <c r="L91" s="10"/>
      <c r="M91" s="10"/>
      <c r="N91" s="10"/>
      <c r="O91" s="100"/>
    </row>
    <row r="92" ht="19.5" customHeight="1" spans="1:15" x14ac:dyDescent="0.25">
      <c r="A92" s="37">
        <v>83</v>
      </c>
      <c r="B92" s="91" t="s">
        <v>127</v>
      </c>
      <c r="C92" s="28">
        <f>'شهر ماي'!J2137</f>
      </c>
      <c r="D92" s="106"/>
      <c r="E92" s="30">
        <v>29.75</v>
      </c>
      <c r="F92" s="29">
        <f>C92+D92</f>
      </c>
      <c r="G92" s="28"/>
      <c r="H92" s="31">
        <f>E92</f>
        <v>29.75</v>
      </c>
      <c r="I92" s="32">
        <f>G92*H92</f>
      </c>
      <c r="J92" s="28">
        <f>F92-G92</f>
      </c>
      <c r="K92" s="51"/>
      <c r="L92" s="10"/>
      <c r="M92" s="10"/>
      <c r="N92" s="107"/>
      <c r="O92" s="108"/>
    </row>
    <row r="93" ht="19.5" customHeight="1" spans="1:15" x14ac:dyDescent="0.25">
      <c r="A93" s="37">
        <v>84</v>
      </c>
      <c r="B93" s="91" t="s">
        <v>128</v>
      </c>
      <c r="C93" s="28">
        <f>'شهر ماي'!J2138</f>
        <v>48</v>
      </c>
      <c r="D93" s="106"/>
      <c r="E93" s="30">
        <v>280</v>
      </c>
      <c r="F93" s="29">
        <f>C93+D93</f>
        <v>48</v>
      </c>
      <c r="G93" s="28"/>
      <c r="H93" s="31">
        <f>E93</f>
        <v>280</v>
      </c>
      <c r="I93" s="32">
        <f>G93*H93</f>
      </c>
      <c r="J93" s="28">
        <f>F93-G93</f>
        <v>48</v>
      </c>
      <c r="K93" s="51"/>
      <c r="L93" s="10"/>
      <c r="M93" s="10"/>
      <c r="N93" s="10"/>
      <c r="O93" s="61"/>
    </row>
    <row r="94" ht="19.5" customHeight="1" spans="1:15" x14ac:dyDescent="0.25">
      <c r="A94" s="37">
        <v>85</v>
      </c>
      <c r="B94" s="91" t="s">
        <v>129</v>
      </c>
      <c r="C94" s="28">
        <f>'شهر ماي'!J2139</f>
      </c>
      <c r="D94" s="106"/>
      <c r="E94" s="30">
        <v>450</v>
      </c>
      <c r="F94" s="29">
        <f>C94+D94</f>
      </c>
      <c r="G94" s="28"/>
      <c r="H94" s="31">
        <f>E94</f>
        <v>450</v>
      </c>
      <c r="I94" s="32">
        <f>G94*H94</f>
      </c>
      <c r="J94" s="28">
        <f>F94-G94</f>
      </c>
      <c r="K94" s="51"/>
      <c r="L94" s="10"/>
      <c r="M94" s="10"/>
      <c r="N94" s="10"/>
      <c r="O94" s="61"/>
    </row>
    <row r="95" ht="19.5" customHeight="1" spans="1:15" x14ac:dyDescent="0.25">
      <c r="A95" s="37">
        <v>86</v>
      </c>
      <c r="B95" s="91" t="s">
        <v>130</v>
      </c>
      <c r="C95" s="28">
        <f>'شهر ماي'!J2140</f>
      </c>
      <c r="D95" s="106"/>
      <c r="E95" s="30">
        <v>130.9</v>
      </c>
      <c r="F95" s="29">
        <f>C95+D95</f>
      </c>
      <c r="G95" s="28"/>
      <c r="H95" s="31">
        <f>E95</f>
        <v>130.9</v>
      </c>
      <c r="I95" s="32">
        <f>G95*H95</f>
      </c>
      <c r="J95" s="28">
        <f>F95-G95</f>
      </c>
      <c r="K95" s="51"/>
      <c r="L95" s="10"/>
      <c r="M95" s="10"/>
      <c r="N95" s="10"/>
      <c r="O95" s="61"/>
    </row>
    <row r="96" ht="19.5" customHeight="1" spans="1:15" x14ac:dyDescent="0.25">
      <c r="A96" s="37">
        <v>87</v>
      </c>
      <c r="B96" s="91" t="s">
        <v>131</v>
      </c>
      <c r="C96" s="28">
        <f>'شهر ماي'!J2141</f>
      </c>
      <c r="D96" s="106"/>
      <c r="E96" s="30">
        <v>200</v>
      </c>
      <c r="F96" s="29">
        <f>C96+D96</f>
      </c>
      <c r="G96" s="28"/>
      <c r="H96" s="31">
        <f>E96</f>
        <v>200</v>
      </c>
      <c r="I96" s="32">
        <f>G96*H96</f>
      </c>
      <c r="J96" s="28">
        <f>F96-G96</f>
      </c>
      <c r="K96" s="40"/>
      <c r="L96" s="10"/>
      <c r="M96" s="10"/>
      <c r="N96" s="10"/>
      <c r="O96" s="61"/>
    </row>
    <row r="97" ht="19.5" customHeight="1" spans="1:15" x14ac:dyDescent="0.25">
      <c r="A97" s="37">
        <v>88</v>
      </c>
      <c r="B97" s="109" t="s">
        <v>132</v>
      </c>
      <c r="C97" s="28">
        <f>'شهر ماي'!J2142</f>
      </c>
      <c r="D97" s="106"/>
      <c r="E97" s="30">
        <v>300</v>
      </c>
      <c r="F97" s="29">
        <f>C97+D97</f>
      </c>
      <c r="G97" s="28"/>
      <c r="H97" s="31">
        <f>E97</f>
        <v>300</v>
      </c>
      <c r="I97" s="32">
        <f>G97*H97</f>
      </c>
      <c r="J97" s="28">
        <f>F97-G97</f>
      </c>
      <c r="K97" s="45"/>
      <c r="L97" s="10"/>
      <c r="M97" s="10"/>
      <c r="N97" s="10"/>
      <c r="O97" s="61"/>
    </row>
    <row r="98" ht="19.5" customHeight="1" spans="1:15" x14ac:dyDescent="0.25">
      <c r="A98" s="62">
        <v>89</v>
      </c>
      <c r="B98" s="110" t="s">
        <v>133</v>
      </c>
      <c r="C98" s="28">
        <f>'شهر ماي'!J2143</f>
      </c>
      <c r="D98" s="111"/>
      <c r="E98" s="30">
        <v>300</v>
      </c>
      <c r="F98" s="29">
        <f>C98+D98</f>
      </c>
      <c r="G98" s="28"/>
      <c r="H98" s="31">
        <f>E98</f>
        <v>300</v>
      </c>
      <c r="I98" s="32">
        <f>G98*H98</f>
      </c>
      <c r="J98" s="28">
        <f>F98-G98</f>
      </c>
      <c r="K98" s="112"/>
      <c r="L98" s="10"/>
      <c r="M98" s="10"/>
      <c r="N98" s="10"/>
      <c r="O98" s="61"/>
    </row>
    <row r="99" ht="18.75" customHeight="1" spans="1:15" x14ac:dyDescent="0.25">
      <c r="A99" s="113"/>
      <c r="B99" s="114"/>
      <c r="C99" s="28">
        <f>SUM(C9:C98)</f>
        <v>11297.65</v>
      </c>
      <c r="D99" s="115">
        <f>SUM(D9:D98)</f>
        <v>100</v>
      </c>
      <c r="E99" s="116">
        <f>SUM(E9:E98)</f>
        <v>36242.98</v>
      </c>
      <c r="F99" s="115">
        <f>SUM(F9:F98)</f>
        <v>11397.65</v>
      </c>
      <c r="G99" s="115">
        <f>SUM(G9:G98)</f>
        <v>571.65</v>
      </c>
      <c r="H99" s="117">
        <f>SUM(H9:H98)</f>
        <v>36242.98</v>
      </c>
      <c r="I99" s="117">
        <f>SUM(I9:I98)</f>
        <v>17438.39</v>
      </c>
      <c r="J99" s="115">
        <f>SUM(J9:J98)</f>
        <v>10826</v>
      </c>
      <c r="K99" s="118"/>
      <c r="L99" s="119"/>
      <c r="M99" s="120"/>
      <c r="N99" s="120"/>
      <c r="O99" s="121"/>
    </row>
    <row r="100" ht="19.5" customHeight="1" spans="1:15" x14ac:dyDescent="0.25">
      <c r="A100" s="1"/>
      <c r="B100" s="1"/>
      <c r="C100" s="122" t="s">
        <v>134</v>
      </c>
      <c r="D100" s="122"/>
      <c r="E100" s="122"/>
      <c r="F100" s="122"/>
      <c r="G100" s="123"/>
      <c r="H100" s="122"/>
      <c r="I100" s="122"/>
      <c r="J100" s="122"/>
      <c r="K100" s="122"/>
      <c r="L100" s="122"/>
      <c r="M100" s="122" t="s">
        <v>135</v>
      </c>
      <c r="N100" s="1"/>
      <c r="O100" s="1"/>
    </row>
    <row r="101" spans="1:15" x14ac:dyDescent="0.25"/>
    <row r="102" spans="1:15" x14ac:dyDescent="0.25"/>
  </sheetData>
  <mergeCells count="78">
    <mergeCell ref="D2:H5"/>
    <mergeCell ref="J2:N2"/>
    <mergeCell ref="J3:M3"/>
    <mergeCell ref="N3:O3"/>
    <mergeCell ref="J4:L4"/>
    <mergeCell ref="M4:O4"/>
    <mergeCell ref="D6:F6"/>
    <mergeCell ref="A7:B7"/>
    <mergeCell ref="D7:E7"/>
    <mergeCell ref="G7:I7"/>
    <mergeCell ref="L7:O8"/>
    <mergeCell ref="A8:B8"/>
    <mergeCell ref="K7:K8"/>
    <mergeCell ref="N9:N10"/>
    <mergeCell ref="O9:O10"/>
    <mergeCell ref="M11:M12"/>
    <mergeCell ref="N11:N12"/>
    <mergeCell ref="O11:O12"/>
    <mergeCell ref="L18:M18"/>
    <mergeCell ref="N18:O19"/>
    <mergeCell ref="L19:M19"/>
    <mergeCell ref="M22:N22"/>
    <mergeCell ref="M24:N24"/>
    <mergeCell ref="L26:O26"/>
    <mergeCell ref="L27:O27"/>
    <mergeCell ref="L28:O28"/>
    <mergeCell ref="L29:O29"/>
    <mergeCell ref="L30:O30"/>
    <mergeCell ref="L31:O31"/>
    <mergeCell ref="L32:O32"/>
    <mergeCell ref="L33:O33"/>
    <mergeCell ref="M35:N35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M58:N58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L77:O78"/>
    <mergeCell ref="L80:O80"/>
    <mergeCell ref="L81:O81"/>
    <mergeCell ref="L82:O82"/>
    <mergeCell ref="M83:O83"/>
    <mergeCell ref="L83:L84"/>
    <mergeCell ref="M84:O84"/>
    <mergeCell ref="M86:O86"/>
    <mergeCell ref="L89:O89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2026-09-19T16:12:43Z</dcterms:created>
  <dcterms:modified xsi:type="dcterms:W3CDTF">2026-09-19T16:12:43Z</dcterms:modified>
</cp:coreProperties>
</file>